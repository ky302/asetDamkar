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1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4.xml" ContentType="application/vnd.openxmlformats-officedocument.spreadsheetml.worksheet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Dashboard" sheetId="1" state="visible" r:id="rId3"/>
    <sheet name="📦 Master Inventaris" sheetId="2" state="visible" r:id="rId4"/>
    <sheet name="🏠 Mako" sheetId="3" state="visible" r:id="rId5"/>
    <sheet name="🏠 Kalaena" sheetId="4" state="visible" r:id="rId6"/>
    <sheet name="🏠 Angkona" sheetId="5" state="visible" r:id="rId7"/>
    <sheet name="🏠 Tomoni" sheetId="6" state="visible" r:id="rId8"/>
    <sheet name="🏠 Wasuponda" sheetId="7" state="visible" r:id="rId9"/>
    <sheet name="🏠 Baruga" sheetId="8" state="visible" r:id="rId10"/>
    <sheet name="🏠 Burau" sheetId="9" state="visible" r:id="rId11"/>
    <sheet name="🏠 Wotu" sheetId="10" state="visible" r:id="rId12"/>
    <sheet name="🏠 Tomoni Timur" sheetId="11" state="visible" r:id="rId13"/>
    <sheet name="🏠 Towuti" sheetId="12" state="visible" r:id="rId14"/>
    <sheet name="✅ Pendaftaran Baru" sheetId="13" state="visible" r:id="rId15"/>
    <sheet name="🔧 Kerusakan" sheetId="14" state="visible" r:id="rId16"/>
    <sheet name="🔄 Pengembalian" sheetId="15" state="visible" r:id="rId17"/>
    <sheet name="📈 Rekap &amp; Analisis" sheetId="16" state="visible" r:id="rId18"/>
    <sheet name="⚙️ Referensi" sheetId="17" state="visible" r:id="rId19"/>
    <sheet name="📖 Panduan" sheetId="18" state="visible" r:id="rId2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<sst xmlns="http://schemas.openxmlformats.org/spreadsheetml/2006/main" count="5057" uniqueCount="716">
  <si>
    <t xml:space="preserve">🚒  DAMKAR — SISTEM PENDATAAN ASET  |  Dinas Pemadam Kebakaran Kota Luwu Timur</t>
  </si>
  <si>
    <t xml:space="preserve">📅 Dibuat: 25 February 2026   |   Total Posko: 10   |   Sumber: DRAFF_PELAPORAN_ASET.docx</t>
  </si>
  <si>
    <t xml:space="preserve">📦 Total Jenis
Peralatan Terdaftar</t>
  </si>
  <si>
    <t xml:space="preserve">🔧 Laporan
Kerusakan/Hilang</t>
  </si>
  <si>
    <t xml:space="preserve">🔄 Pengembalian
Aset</t>
  </si>
  <si>
    <t xml:space="preserve">🏠 Total
Posko Aktif</t>
  </si>
  <si>
    <t xml:space="preserve">📅 Update
Terakhir</t>
  </si>
  <si>
    <t xml:space="preserve">REKAP INVENTARIS PER POSKO</t>
  </si>
  <si>
    <t xml:space="preserve">No</t>
  </si>
  <si>
    <t xml:space="preserve">Nama Posko</t>
  </si>
  <si>
    <t xml:space="preserve">Total Jenis Alat</t>
  </si>
  <si>
    <t xml:space="preserve">Laporan Rusak</t>
  </si>
  <si>
    <t xml:space="preserve">Laporan Hilang</t>
  </si>
  <si>
    <t xml:space="preserve">Dipinjam</t>
  </si>
  <si>
    <t xml:space="preserve">Dikembalikan</t>
  </si>
  <si>
    <t xml:space="preserve">Total Laporan</t>
  </si>
  <si>
    <t xml:space="preserve">% Rusak/Hilang</t>
  </si>
  <si>
    <t xml:space="preserve">Kondisi</t>
  </si>
  <si>
    <t xml:space="preserve">Keterangan</t>
  </si>
  <si>
    <t xml:space="preserve">Mako</t>
  </si>
  <si>
    <t xml:space="preserve">-</t>
  </si>
  <si>
    <t xml:space="preserve">Kalaena</t>
  </si>
  <si>
    <t xml:space="preserve">Angkona</t>
  </si>
  <si>
    <t xml:space="preserve">Tomoni</t>
  </si>
  <si>
    <t xml:space="preserve">Wasuponda</t>
  </si>
  <si>
    <t xml:space="preserve">Baruga</t>
  </si>
  <si>
    <t xml:space="preserve">Burau</t>
  </si>
  <si>
    <t xml:space="preserve">Wotu</t>
  </si>
  <si>
    <t xml:space="preserve">Tomoni Timur</t>
  </si>
  <si>
    <t xml:space="preserve">Towuti</t>
  </si>
  <si>
    <t xml:space="preserve">TOTAL KESELURUHAN</t>
  </si>
  <si>
    <t xml:space="preserve">📦  MASTER INVENTARIS PERALATAN — SEMUA POSKO  |  DAMKAR Kota Luwu Timur</t>
  </si>
  <si>
    <t xml:space="preserve">Data inventaris seluruh posko berdasarkan dokumen resmi. Kolom Jumlah &amp; Tahun diisi oleh operator masing-masing posko.</t>
  </si>
  <si>
    <t xml:space="preserve">Kode Posko</t>
  </si>
  <si>
    <t xml:space="preserve">Nama Peralatan</t>
  </si>
  <si>
    <t xml:space="preserve">Merk / Type</t>
  </si>
  <si>
    <t xml:space="preserve">Jumlah</t>
  </si>
  <si>
    <t xml:space="preserve">Satuan</t>
  </si>
  <si>
    <t xml:space="preserve">Tahun Pengadaan</t>
  </si>
  <si>
    <t xml:space="preserve">Kondisi Awal</t>
  </si>
  <si>
    <t xml:space="preserve">Status Saat Ini</t>
  </si>
  <si>
    <t xml:space="preserve">No. Seri / Kode Aset</t>
  </si>
  <si>
    <t xml:space="preserve">  🏠  POSKO MAKO  (30 jenis peralatan terdaftar)</t>
  </si>
  <si>
    <t xml:space="preserve">MKO</t>
  </si>
  <si>
    <t xml:space="preserve">Handy Talky</t>
  </si>
  <si>
    <t xml:space="preserve">Icom / VHF Transceiver</t>
  </si>
  <si>
    <t xml:space="preserve">Unit</t>
  </si>
  <si>
    <t xml:space="preserve">Baik</t>
  </si>
  <si>
    <t xml:space="preserve">Aktif</t>
  </si>
  <si>
    <t xml:space="preserve">MKO-001</t>
  </si>
  <si>
    <t xml:space="preserve">Selang Penyemprot Air 1.5"</t>
  </si>
  <si>
    <t xml:space="preserve">Sintex</t>
  </si>
  <si>
    <t xml:space="preserve">MKO-002</t>
  </si>
  <si>
    <t xml:space="preserve">Selang Penyemprot Air 2.5"</t>
  </si>
  <si>
    <t xml:space="preserve">MKO-003</t>
  </si>
  <si>
    <t xml:space="preserve">APAR / Alat Pemadam Portable</t>
  </si>
  <si>
    <t xml:space="preserve">Phoenix / P-6P</t>
  </si>
  <si>
    <t xml:space="preserve">MKO-004</t>
  </si>
  <si>
    <t xml:space="preserve">Helm Rescue</t>
  </si>
  <si>
    <t xml:space="preserve">Anti Benturan</t>
  </si>
  <si>
    <t xml:space="preserve">MKO-005</t>
  </si>
  <si>
    <t xml:space="preserve">Helm Safety</t>
  </si>
  <si>
    <t xml:space="preserve">MKO-006</t>
  </si>
  <si>
    <t xml:space="preserve">Pakaian Panas/Lengkap</t>
  </si>
  <si>
    <t xml:space="preserve">Macino</t>
  </si>
  <si>
    <t xml:space="preserve">MKO-007</t>
  </si>
  <si>
    <t xml:space="preserve">Pakaian Tahan Panas</t>
  </si>
  <si>
    <t xml:space="preserve">MKO-008</t>
  </si>
  <si>
    <t xml:space="preserve">Baju Safety Anti Lebah</t>
  </si>
  <si>
    <t xml:space="preserve">Lakeland</t>
  </si>
  <si>
    <t xml:space="preserve">MKO-009</t>
  </si>
  <si>
    <t xml:space="preserve">Kaos Tangan Pemadam</t>
  </si>
  <si>
    <t xml:space="preserve">Viva</t>
  </si>
  <si>
    <t xml:space="preserve">MKO-010</t>
  </si>
  <si>
    <t xml:space="preserve">Kaos Tangan Rescue</t>
  </si>
  <si>
    <t xml:space="preserve">Uno</t>
  </si>
  <si>
    <t xml:space="preserve">MKO-011</t>
  </si>
  <si>
    <t xml:space="preserve">Sarung Tangan Anti Ular</t>
  </si>
  <si>
    <t xml:space="preserve">JJXF</t>
  </si>
  <si>
    <t xml:space="preserve">MKO-012</t>
  </si>
  <si>
    <t xml:space="preserve">Sepatu Safety</t>
  </si>
  <si>
    <t xml:space="preserve">PHOENIX</t>
  </si>
  <si>
    <t xml:space="preserve">MKO-013</t>
  </si>
  <si>
    <t xml:space="preserve">Senter Kepala</t>
  </si>
  <si>
    <t xml:space="preserve">Blue Eagle</t>
  </si>
  <si>
    <t xml:space="preserve">MKO-014</t>
  </si>
  <si>
    <t xml:space="preserve">Senter Penyelamatan</t>
  </si>
  <si>
    <t xml:space="preserve">Highigt Torchit</t>
  </si>
  <si>
    <t xml:space="preserve">MKO-015</t>
  </si>
  <si>
    <t xml:space="preserve">Penjepit Ular</t>
  </si>
  <si>
    <t xml:space="preserve">Fodalbet Snake Tong</t>
  </si>
  <si>
    <t xml:space="preserve">MKO-016</t>
  </si>
  <si>
    <t xml:space="preserve">Tongkat Ular</t>
  </si>
  <si>
    <t xml:space="preserve">Fodalbet</t>
  </si>
  <si>
    <t xml:space="preserve">MKO-017</t>
  </si>
  <si>
    <t xml:space="preserve">Jas Hujan</t>
  </si>
  <si>
    <t xml:space="preserve">Lokal</t>
  </si>
  <si>
    <t xml:space="preserve">MKO-018</t>
  </si>
  <si>
    <t xml:space="preserve">Masker Full Face</t>
  </si>
  <si>
    <t xml:space="preserve">MKO-019</t>
  </si>
  <si>
    <t xml:space="preserve">Respirator Masker</t>
  </si>
  <si>
    <t xml:space="preserve">Niosh</t>
  </si>
  <si>
    <t xml:space="preserve">MKO-020</t>
  </si>
  <si>
    <t xml:space="preserve">Masker Semprot</t>
  </si>
  <si>
    <t xml:space="preserve">MKO-021</t>
  </si>
  <si>
    <t xml:space="preserve">Kacamata Safety</t>
  </si>
  <si>
    <t xml:space="preserve">Taffguard</t>
  </si>
  <si>
    <t xml:space="preserve">MKO-022</t>
  </si>
  <si>
    <t xml:space="preserve">Gerinda Mini</t>
  </si>
  <si>
    <t xml:space="preserve">Tough</t>
  </si>
  <si>
    <t xml:space="preserve">MKO-023</t>
  </si>
  <si>
    <t xml:space="preserve">Chainsaw / Senso</t>
  </si>
  <si>
    <t xml:space="preserve">MKO-024</t>
  </si>
  <si>
    <t xml:space="preserve">Parang/Golok</t>
  </si>
  <si>
    <t xml:space="preserve">MKO-025</t>
  </si>
  <si>
    <t xml:space="preserve">Alat Semprot Tawon</t>
  </si>
  <si>
    <t xml:space="preserve">MKO-026</t>
  </si>
  <si>
    <t xml:space="preserve">Radio Rig / SSB</t>
  </si>
  <si>
    <t xml:space="preserve">Kenwood</t>
  </si>
  <si>
    <t xml:space="preserve">MKO-027</t>
  </si>
  <si>
    <t xml:space="preserve">Refil Filter</t>
  </si>
  <si>
    <t xml:space="preserve">MKO-028</t>
  </si>
  <si>
    <t xml:space="preserve">Lampu Rotari</t>
  </si>
  <si>
    <t xml:space="preserve">MKO-029</t>
  </si>
  <si>
    <t xml:space="preserve">Tool Kit Set</t>
  </si>
  <si>
    <t xml:space="preserve">MKO-030</t>
  </si>
  <si>
    <t xml:space="preserve">  🏠  POSKO KALAENA  (34 jenis peralatan terdaftar)</t>
  </si>
  <si>
    <t xml:space="preserve">KLN</t>
  </si>
  <si>
    <t xml:space="preserve">Selang Penyemprot Air</t>
  </si>
  <si>
    <t xml:space="preserve">KLN-001</t>
  </si>
  <si>
    <t xml:space="preserve">Transportable Water / Pompa Apung</t>
  </si>
  <si>
    <t xml:space="preserve">Aquafast</t>
  </si>
  <si>
    <t xml:space="preserve">KLN-002</t>
  </si>
  <si>
    <t xml:space="preserve">Red Cobra</t>
  </si>
  <si>
    <t xml:space="preserve">KLN-003</t>
  </si>
  <si>
    <t xml:space="preserve">Alat Pemadam / Portable (APAR)</t>
  </si>
  <si>
    <t xml:space="preserve">KLN-004</t>
  </si>
  <si>
    <t xml:space="preserve">Harvik</t>
  </si>
  <si>
    <t xml:space="preserve">KLN-005</t>
  </si>
  <si>
    <t xml:space="preserve">KLN-006</t>
  </si>
  <si>
    <t xml:space="preserve">KLN-007</t>
  </si>
  <si>
    <t xml:space="preserve">Pakaian Safety Anti Lebah</t>
  </si>
  <si>
    <t xml:space="preserve">Werwey</t>
  </si>
  <si>
    <t xml:space="preserve">KLN-008</t>
  </si>
  <si>
    <t xml:space="preserve">KLN-009</t>
  </si>
  <si>
    <t xml:space="preserve">Baju Anti Panas</t>
  </si>
  <si>
    <t xml:space="preserve">Fodalbet Snake</t>
  </si>
  <si>
    <t xml:space="preserve">KLN-010</t>
  </si>
  <si>
    <t xml:space="preserve">Baju Safety Anti Panas</t>
  </si>
  <si>
    <t xml:space="preserve">KLN-011</t>
  </si>
  <si>
    <t xml:space="preserve">KLN-012</t>
  </si>
  <si>
    <t xml:space="preserve">Telepon Digital</t>
  </si>
  <si>
    <t xml:space="preserve">X-One</t>
  </si>
  <si>
    <t xml:space="preserve">KLN-013</t>
  </si>
  <si>
    <t xml:space="preserve">Samsum</t>
  </si>
  <si>
    <t xml:space="preserve">KLN-014</t>
  </si>
  <si>
    <t xml:space="preserve">Parang</t>
  </si>
  <si>
    <t xml:space="preserve">Nomex</t>
  </si>
  <si>
    <t xml:space="preserve">KLN-015</t>
  </si>
  <si>
    <t xml:space="preserve">Selang Rubber</t>
  </si>
  <si>
    <t xml:space="preserve">Endlessafe 2.5</t>
  </si>
  <si>
    <t xml:space="preserve">KLN-016</t>
  </si>
  <si>
    <t xml:space="preserve">KLN-017</t>
  </si>
  <si>
    <t xml:space="preserve">Baju Anti Tawon</t>
  </si>
  <si>
    <t xml:space="preserve">Hike More</t>
  </si>
  <si>
    <t xml:space="preserve">KLN-018</t>
  </si>
  <si>
    <t xml:space="preserve">Atra</t>
  </si>
  <si>
    <t xml:space="preserve">KLN-019</t>
  </si>
  <si>
    <t xml:space="preserve">KLN-020</t>
  </si>
  <si>
    <t xml:space="preserve">New West</t>
  </si>
  <si>
    <t xml:space="preserve">KLN-021</t>
  </si>
  <si>
    <t xml:space="preserve">Sos</t>
  </si>
  <si>
    <t xml:space="preserve">KLN-022</t>
  </si>
  <si>
    <t xml:space="preserve">Kaos Tangan Anti Ular</t>
  </si>
  <si>
    <t xml:space="preserve">Jjxf</t>
  </si>
  <si>
    <t xml:space="preserve">KLN-023</t>
  </si>
  <si>
    <t xml:space="preserve">Kaos Tangan Safety</t>
  </si>
  <si>
    <t xml:space="preserve">KLN-024</t>
  </si>
  <si>
    <t xml:space="preserve">Sarung Tangan Pemadam</t>
  </si>
  <si>
    <t xml:space="preserve">KLN-025</t>
  </si>
  <si>
    <t xml:space="preserve">Catridge</t>
  </si>
  <si>
    <t xml:space="preserve">KLN-026</t>
  </si>
  <si>
    <t xml:space="preserve">KLN-027</t>
  </si>
  <si>
    <t xml:space="preserve">Senter Swat</t>
  </si>
  <si>
    <t xml:space="preserve">KLN-028</t>
  </si>
  <si>
    <t xml:space="preserve">KLN-029</t>
  </si>
  <si>
    <t xml:space="preserve">Masker Gas Full Face</t>
  </si>
  <si>
    <t xml:space="preserve">KLN-030</t>
  </si>
  <si>
    <t xml:space="preserve">Pro Best</t>
  </si>
  <si>
    <t xml:space="preserve">KLN-031</t>
  </si>
  <si>
    <t xml:space="preserve">KLN-032</t>
  </si>
  <si>
    <t xml:space="preserve">KLN-033</t>
  </si>
  <si>
    <t xml:space="preserve">KLN-034</t>
  </si>
  <si>
    <t xml:space="preserve">  🏠  POSKO ANGKONA  (33 jenis peralatan terdaftar)</t>
  </si>
  <si>
    <t xml:space="preserve">AKN</t>
  </si>
  <si>
    <t xml:space="preserve">Pabrikan (Lokal)</t>
  </si>
  <si>
    <t xml:space="preserve">AKN-001</t>
  </si>
  <si>
    <t xml:space="preserve">AKN-002</t>
  </si>
  <si>
    <t xml:space="preserve">SSB Transportable</t>
  </si>
  <si>
    <t xml:space="preserve">AKN-003</t>
  </si>
  <si>
    <t xml:space="preserve">Helm Fiber</t>
  </si>
  <si>
    <t xml:space="preserve">AKN-004</t>
  </si>
  <si>
    <t xml:space="preserve">AKN-005</t>
  </si>
  <si>
    <t xml:space="preserve">Lampu Sirine Tunggal</t>
  </si>
  <si>
    <t xml:space="preserve">Strobe Lightbar</t>
  </si>
  <si>
    <t xml:space="preserve">AKN-006</t>
  </si>
  <si>
    <t xml:space="preserve">Alat Pemadam/Portable (APAR)</t>
  </si>
  <si>
    <t xml:space="preserve">AKN-007</t>
  </si>
  <si>
    <t xml:space="preserve">PHOENIX / P-6P</t>
  </si>
  <si>
    <t xml:space="preserve">AKN-008</t>
  </si>
  <si>
    <t xml:space="preserve">Telepon On/Off</t>
  </si>
  <si>
    <t xml:space="preserve">AKN-009</t>
  </si>
  <si>
    <t xml:space="preserve">MIYAKO</t>
  </si>
  <si>
    <t xml:space="preserve">AKN-010</t>
  </si>
  <si>
    <t xml:space="preserve">Nokia</t>
  </si>
  <si>
    <t xml:space="preserve">AKN-011</t>
  </si>
  <si>
    <t xml:space="preserve">AKN-012</t>
  </si>
  <si>
    <t xml:space="preserve">AKN-013</t>
  </si>
  <si>
    <t xml:space="preserve">AKN-014</t>
  </si>
  <si>
    <t xml:space="preserve">Centrifugal Pump</t>
  </si>
  <si>
    <t xml:space="preserve">AKN-015</t>
  </si>
  <si>
    <t xml:space="preserve">Tatsumi</t>
  </si>
  <si>
    <t xml:space="preserve">AKN-016</t>
  </si>
  <si>
    <t xml:space="preserve">Telpon Digital</t>
  </si>
  <si>
    <t xml:space="preserve">AKN-017</t>
  </si>
  <si>
    <t xml:space="preserve">Jet Nosel</t>
  </si>
  <si>
    <t xml:space="preserve">AKN-018</t>
  </si>
  <si>
    <t xml:space="preserve">Lampu Rotary Table</t>
  </si>
  <si>
    <t xml:space="preserve">Headle</t>
  </si>
  <si>
    <t xml:space="preserve">AKN-019</t>
  </si>
  <si>
    <t xml:space="preserve">Selang Air 1.5 Inci</t>
  </si>
  <si>
    <t xml:space="preserve">Nike More</t>
  </si>
  <si>
    <t xml:space="preserve">AKN-020</t>
  </si>
  <si>
    <t xml:space="preserve">Sencaw / Chainsaw</t>
  </si>
  <si>
    <t xml:space="preserve">Ingco</t>
  </si>
  <si>
    <t xml:space="preserve">AKN-021</t>
  </si>
  <si>
    <t xml:space="preserve">AKN-022</t>
  </si>
  <si>
    <t xml:space="preserve">Kaos Tangan</t>
  </si>
  <si>
    <t xml:space="preserve">Cartridge</t>
  </si>
  <si>
    <t xml:space="preserve">AKN-023</t>
  </si>
  <si>
    <t xml:space="preserve">AKN-024</t>
  </si>
  <si>
    <t xml:space="preserve">AKN-025</t>
  </si>
  <si>
    <t xml:space="preserve">Mesin Gerinda</t>
  </si>
  <si>
    <t xml:space="preserve">AKN-026</t>
  </si>
  <si>
    <t xml:space="preserve">AKN-027</t>
  </si>
  <si>
    <t xml:space="preserve">AKN-028</t>
  </si>
  <si>
    <t xml:space="preserve">AKN-029</t>
  </si>
  <si>
    <t xml:space="preserve">AKN-030</t>
  </si>
  <si>
    <t xml:space="preserve">AKN-031</t>
  </si>
  <si>
    <t xml:space="preserve">AKN-032</t>
  </si>
  <si>
    <t xml:space="preserve">AKN-033</t>
  </si>
  <si>
    <t xml:space="preserve">  🏠  POSKO TOMONI  (43 jenis peralatan terdaftar)</t>
  </si>
  <si>
    <t xml:space="preserve">TMN</t>
  </si>
  <si>
    <t xml:space="preserve">Selang Sintex / 1.5-30m</t>
  </si>
  <si>
    <t xml:space="preserve">TMN-001</t>
  </si>
  <si>
    <t xml:space="preserve">Zeki</t>
  </si>
  <si>
    <t xml:space="preserve">TMN-002</t>
  </si>
  <si>
    <t xml:space="preserve">TMN-003</t>
  </si>
  <si>
    <t xml:space="preserve">Wipro / 79 PCS</t>
  </si>
  <si>
    <t xml:space="preserve">TMN-004</t>
  </si>
  <si>
    <t xml:space="preserve">Respirator</t>
  </si>
  <si>
    <t xml:space="preserve">Jasmar</t>
  </si>
  <si>
    <t xml:space="preserve">TMN-005</t>
  </si>
  <si>
    <t xml:space="preserve">TMN-006</t>
  </si>
  <si>
    <t xml:space="preserve">Hidran Kebakaran</t>
  </si>
  <si>
    <t xml:space="preserve">TMN-007</t>
  </si>
  <si>
    <t xml:space="preserve">Tabung APAR</t>
  </si>
  <si>
    <t xml:space="preserve">TMN-008</t>
  </si>
  <si>
    <t xml:space="preserve">Fiber</t>
  </si>
  <si>
    <t xml:space="preserve">TMN-009</t>
  </si>
  <si>
    <t xml:space="preserve">TMN-010</t>
  </si>
  <si>
    <t xml:space="preserve">Senter</t>
  </si>
  <si>
    <t xml:space="preserve">TMN-011</t>
  </si>
  <si>
    <t xml:space="preserve">TMN-012</t>
  </si>
  <si>
    <t xml:space="preserve">TMN-013</t>
  </si>
  <si>
    <t xml:space="preserve">TMN-014</t>
  </si>
  <si>
    <t xml:space="preserve">TMN-015</t>
  </si>
  <si>
    <t xml:space="preserve">IPX3</t>
  </si>
  <si>
    <t xml:space="preserve">TMN-016</t>
  </si>
  <si>
    <t xml:space="preserve">TMN-017</t>
  </si>
  <si>
    <t xml:space="preserve">TMN-018</t>
  </si>
  <si>
    <t xml:space="preserve">TMN-019</t>
  </si>
  <si>
    <t xml:space="preserve">TMN-020</t>
  </si>
  <si>
    <t xml:space="preserve">Tangga Aluminium</t>
  </si>
  <si>
    <t xml:space="preserve">TMN-021</t>
  </si>
  <si>
    <t xml:space="preserve">TMN-022</t>
  </si>
  <si>
    <t xml:space="preserve">TMN-023</t>
  </si>
  <si>
    <t xml:space="preserve">TMN-024</t>
  </si>
  <si>
    <t xml:space="preserve">TMN-025</t>
  </si>
  <si>
    <t xml:space="preserve">TMN-026</t>
  </si>
  <si>
    <t xml:space="preserve">TMN-027</t>
  </si>
  <si>
    <t xml:space="preserve">TMN-028</t>
  </si>
  <si>
    <t xml:space="preserve">Frame Retardant</t>
  </si>
  <si>
    <t xml:space="preserve">TMN-029</t>
  </si>
  <si>
    <t xml:space="preserve">Oxygen</t>
  </si>
  <si>
    <t xml:space="preserve">TMN-030</t>
  </si>
  <si>
    <t xml:space="preserve">TMN-031</t>
  </si>
  <si>
    <t xml:space="preserve">Eracom</t>
  </si>
  <si>
    <t xml:space="preserve">TMN-032</t>
  </si>
  <si>
    <t xml:space="preserve">TMN-033</t>
  </si>
  <si>
    <t xml:space="preserve">TMN-034</t>
  </si>
  <si>
    <t xml:space="preserve">TMN-035</t>
  </si>
  <si>
    <t xml:space="preserve">TMN-036</t>
  </si>
  <si>
    <t xml:space="preserve">TMN-037</t>
  </si>
  <si>
    <t xml:space="preserve">TMN-038</t>
  </si>
  <si>
    <t xml:space="preserve">SCBA (Alat SAR)</t>
  </si>
  <si>
    <t xml:space="preserve">TMN-039</t>
  </si>
  <si>
    <t xml:space="preserve">Tabung Pernapasan</t>
  </si>
  <si>
    <t xml:space="preserve">TMN-040</t>
  </si>
  <si>
    <t xml:space="preserve">Baju Pemadam</t>
  </si>
  <si>
    <t xml:space="preserve">TMN-041</t>
  </si>
  <si>
    <t xml:space="preserve">TMN-042</t>
  </si>
  <si>
    <t xml:space="preserve">Senter Kepala (Cadangan)</t>
  </si>
  <si>
    <t xml:space="preserve">TMN-043</t>
  </si>
  <si>
    <t xml:space="preserve">  🏠  POSKO WASUPONDA  (30 jenis peralatan terdaftar)</t>
  </si>
  <si>
    <t xml:space="preserve">WSP</t>
  </si>
  <si>
    <t xml:space="preserve">WSP-001</t>
  </si>
  <si>
    <t xml:space="preserve">WSP-002</t>
  </si>
  <si>
    <t xml:space="preserve">WSP-003</t>
  </si>
  <si>
    <t xml:space="preserve">WSP-004</t>
  </si>
  <si>
    <t xml:space="preserve">WSP-005</t>
  </si>
  <si>
    <t xml:space="preserve">WSP-006</t>
  </si>
  <si>
    <t xml:space="preserve">WSP-007</t>
  </si>
  <si>
    <t xml:space="preserve">WSP-008</t>
  </si>
  <si>
    <t xml:space="preserve">WSP-009</t>
  </si>
  <si>
    <t xml:space="preserve">WSP-010</t>
  </si>
  <si>
    <t xml:space="preserve">WSP-011</t>
  </si>
  <si>
    <t xml:space="preserve">WSP-012</t>
  </si>
  <si>
    <t xml:space="preserve">WSP-013</t>
  </si>
  <si>
    <t xml:space="preserve">WSP-014</t>
  </si>
  <si>
    <t xml:space="preserve">WSP-015</t>
  </si>
  <si>
    <t xml:space="preserve">WSP-016</t>
  </si>
  <si>
    <t xml:space="preserve">WSP-017</t>
  </si>
  <si>
    <t xml:space="preserve">WSP-018</t>
  </si>
  <si>
    <t xml:space="preserve">WSP-019</t>
  </si>
  <si>
    <t xml:space="preserve">WSP-020</t>
  </si>
  <si>
    <t xml:space="preserve">WSP-021</t>
  </si>
  <si>
    <t xml:space="preserve">WSP-022</t>
  </si>
  <si>
    <t xml:space="preserve">WSP-023</t>
  </si>
  <si>
    <t xml:space="preserve">WSP-024</t>
  </si>
  <si>
    <t xml:space="preserve">WSP-025</t>
  </si>
  <si>
    <t xml:space="preserve">WSP-026</t>
  </si>
  <si>
    <t xml:space="preserve">WSP-027</t>
  </si>
  <si>
    <t xml:space="preserve">WSP-028</t>
  </si>
  <si>
    <t xml:space="preserve">WSP-029</t>
  </si>
  <si>
    <t xml:space="preserve">WSP-030</t>
  </si>
  <si>
    <t xml:space="preserve">  🏠  POSKO BARUGA  (29 jenis peralatan terdaftar)</t>
  </si>
  <si>
    <t xml:space="preserve">BRG</t>
  </si>
  <si>
    <t xml:space="preserve">Icom/VHF Transceiver</t>
  </si>
  <si>
    <t xml:space="preserve">BRG-001</t>
  </si>
  <si>
    <t xml:space="preserve">Unit Transceiver SSB Transportable</t>
  </si>
  <si>
    <t xml:space="preserve">Syntax</t>
  </si>
  <si>
    <t xml:space="preserve">BRG-002</t>
  </si>
  <si>
    <t xml:space="preserve">Penjepit Ulat</t>
  </si>
  <si>
    <t xml:space="preserve">Syntax Unidur</t>
  </si>
  <si>
    <t xml:space="preserve">BRG-003</t>
  </si>
  <si>
    <t xml:space="preserve">Life Jaket</t>
  </si>
  <si>
    <t xml:space="preserve">Machino Lianxing</t>
  </si>
  <si>
    <t xml:space="preserve">BRG-004</t>
  </si>
  <si>
    <t xml:space="preserve">Machino</t>
  </si>
  <si>
    <t xml:space="preserve">BRG-005</t>
  </si>
  <si>
    <t xml:space="preserve">Suction Hose Spiral</t>
  </si>
  <si>
    <t xml:space="preserve">BRG-006</t>
  </si>
  <si>
    <t xml:space="preserve">BRG-007</t>
  </si>
  <si>
    <t xml:space="preserve">Fodalbelt Snake Tong</t>
  </si>
  <si>
    <t xml:space="preserve">BRG-008</t>
  </si>
  <si>
    <t xml:space="preserve">Sarung Tangan</t>
  </si>
  <si>
    <t xml:space="preserve">Gren</t>
  </si>
  <si>
    <t xml:space="preserve">BRG-009</t>
  </si>
  <si>
    <t xml:space="preserve">BRG-010</t>
  </si>
  <si>
    <t xml:space="preserve">BRG-011</t>
  </si>
  <si>
    <t xml:space="preserve">BRG-012</t>
  </si>
  <si>
    <t xml:space="preserve">Niken Silen</t>
  </si>
  <si>
    <t xml:space="preserve">BRG-013</t>
  </si>
  <si>
    <t xml:space="preserve">BRG-014</t>
  </si>
  <si>
    <t xml:space="preserve">BRG-015</t>
  </si>
  <si>
    <t xml:space="preserve">BRG-016</t>
  </si>
  <si>
    <t xml:space="preserve">BRG-017</t>
  </si>
  <si>
    <t xml:space="preserve">Chainsaw Sedang</t>
  </si>
  <si>
    <t xml:space="preserve">BRG-018</t>
  </si>
  <si>
    <t xml:space="preserve">Gun Nozzle</t>
  </si>
  <si>
    <t xml:space="preserve">BRG-019</t>
  </si>
  <si>
    <t xml:space="preserve">BRG-020</t>
  </si>
  <si>
    <t xml:space="preserve">BRG-021</t>
  </si>
  <si>
    <t xml:space="preserve">Handgrip Nozel</t>
  </si>
  <si>
    <t xml:space="preserve">Erakom</t>
  </si>
  <si>
    <t xml:space="preserve">BRG-022</t>
  </si>
  <si>
    <t xml:space="preserve">Smart</t>
  </si>
  <si>
    <t xml:space="preserve">BRG-023</t>
  </si>
  <si>
    <t xml:space="preserve">Full Face Masker</t>
  </si>
  <si>
    <t xml:space="preserve">Andlesave</t>
  </si>
  <si>
    <t xml:space="preserve">BRG-024</t>
  </si>
  <si>
    <t xml:space="preserve">Handphone</t>
  </si>
  <si>
    <t xml:space="preserve">BRG-025</t>
  </si>
  <si>
    <t xml:space="preserve">Selang 1.5</t>
  </si>
  <si>
    <t xml:space="preserve">BRG-026</t>
  </si>
  <si>
    <t xml:space="preserve">Selang 1.5 x 30m</t>
  </si>
  <si>
    <t xml:space="preserve">BRG-027</t>
  </si>
  <si>
    <t xml:space="preserve">Selang 2.5</t>
  </si>
  <si>
    <t xml:space="preserve">BRG-028</t>
  </si>
  <si>
    <t xml:space="preserve">Selang Penghisap Air</t>
  </si>
  <si>
    <t xml:space="preserve">Suction Hose</t>
  </si>
  <si>
    <t xml:space="preserve">BRG-029</t>
  </si>
  <si>
    <t xml:space="preserve">  🏠  POSKO BURAU  (32 jenis peralatan terdaftar)</t>
  </si>
  <si>
    <t xml:space="preserve">BRU</t>
  </si>
  <si>
    <t xml:space="preserve">BRU-001</t>
  </si>
  <si>
    <t xml:space="preserve">BRU-002</t>
  </si>
  <si>
    <t xml:space="preserve">Alat Pemadam Kebakaran Lain-lain</t>
  </si>
  <si>
    <t xml:space="preserve">BRU-003</t>
  </si>
  <si>
    <t xml:space="preserve">Water Stride</t>
  </si>
  <si>
    <t xml:space="preserve">BRU-004</t>
  </si>
  <si>
    <t xml:space="preserve">Pabrikan</t>
  </si>
  <si>
    <t xml:space="preserve">BRU-005</t>
  </si>
  <si>
    <t xml:space="preserve">BRU-006</t>
  </si>
  <si>
    <t xml:space="preserve">Phoenix / 6 kg</t>
  </si>
  <si>
    <t xml:space="preserve">BRU-007</t>
  </si>
  <si>
    <t xml:space="preserve">BRU-008</t>
  </si>
  <si>
    <t xml:space="preserve">BRU-009</t>
  </si>
  <si>
    <t xml:space="preserve">BRU-010</t>
  </si>
  <si>
    <t xml:space="preserve">BRU-011</t>
  </si>
  <si>
    <t xml:space="preserve">BRU-012</t>
  </si>
  <si>
    <t xml:space="preserve">Takiro</t>
  </si>
  <si>
    <t xml:space="preserve">BRU-013</t>
  </si>
  <si>
    <t xml:space="preserve">BRU-014</t>
  </si>
  <si>
    <t xml:space="preserve">Alonco</t>
  </si>
  <si>
    <t xml:space="preserve">BRU-015</t>
  </si>
  <si>
    <t xml:space="preserve">BRU-016</t>
  </si>
  <si>
    <t xml:space="preserve">Radio Rig</t>
  </si>
  <si>
    <t xml:space="preserve">BRU-017</t>
  </si>
  <si>
    <t xml:space="preserve">BRU-018</t>
  </si>
  <si>
    <t xml:space="preserve">BRU-019</t>
  </si>
  <si>
    <t xml:space="preserve">Parang Golok</t>
  </si>
  <si>
    <t xml:space="preserve">BRU-020</t>
  </si>
  <si>
    <t xml:space="preserve">BRU-021</t>
  </si>
  <si>
    <t xml:space="preserve">BRU-022</t>
  </si>
  <si>
    <t xml:space="preserve">BRU-023</t>
  </si>
  <si>
    <t xml:space="preserve">BRU-024</t>
  </si>
  <si>
    <t xml:space="preserve">Escort</t>
  </si>
  <si>
    <t xml:space="preserve">BRU-025</t>
  </si>
  <si>
    <t xml:space="preserve">BRU-026</t>
  </si>
  <si>
    <t xml:space="preserve">BRU-027</t>
  </si>
  <si>
    <t xml:space="preserve">BRU-028</t>
  </si>
  <si>
    <t xml:space="preserve">BRU-029</t>
  </si>
  <si>
    <t xml:space="preserve">BRU-030</t>
  </si>
  <si>
    <t xml:space="preserve">BRU-031</t>
  </si>
  <si>
    <t xml:space="preserve">BRU-032</t>
  </si>
  <si>
    <t xml:space="preserve">  🏠  POSKO WOTU  (30 jenis peralatan terdaftar)</t>
  </si>
  <si>
    <t xml:space="preserve">WTU</t>
  </si>
  <si>
    <t xml:space="preserve">WTU-001</t>
  </si>
  <si>
    <t xml:space="preserve">WTU-002</t>
  </si>
  <si>
    <t xml:space="preserve">WTU-003</t>
  </si>
  <si>
    <t xml:space="preserve">WTU-004</t>
  </si>
  <si>
    <t xml:space="preserve">WTU-005</t>
  </si>
  <si>
    <t xml:space="preserve">WTU-006</t>
  </si>
  <si>
    <t xml:space="preserve">WTU-007</t>
  </si>
  <si>
    <t xml:space="preserve">WTU-008</t>
  </si>
  <si>
    <t xml:space="preserve">WTU-009</t>
  </si>
  <si>
    <t xml:space="preserve">WTU-010</t>
  </si>
  <si>
    <t xml:space="preserve">WTU-011</t>
  </si>
  <si>
    <t xml:space="preserve">WTU-012</t>
  </si>
  <si>
    <t xml:space="preserve">WTU-013</t>
  </si>
  <si>
    <t xml:space="preserve">WTU-014</t>
  </si>
  <si>
    <t xml:space="preserve">WTU-015</t>
  </si>
  <si>
    <t xml:space="preserve">WTU-016</t>
  </si>
  <si>
    <t xml:space="preserve">WTU-017</t>
  </si>
  <si>
    <t xml:space="preserve">WTU-018</t>
  </si>
  <si>
    <t xml:space="preserve">WTU-019</t>
  </si>
  <si>
    <t xml:space="preserve">WTU-020</t>
  </si>
  <si>
    <t xml:space="preserve">WTU-021</t>
  </si>
  <si>
    <t xml:space="preserve">WTU-022</t>
  </si>
  <si>
    <t xml:space="preserve">WTU-023</t>
  </si>
  <si>
    <t xml:space="preserve">WTU-024</t>
  </si>
  <si>
    <t xml:space="preserve">WTU-025</t>
  </si>
  <si>
    <t xml:space="preserve">WTU-026</t>
  </si>
  <si>
    <t xml:space="preserve">WTU-027</t>
  </si>
  <si>
    <t xml:space="preserve">WTU-028</t>
  </si>
  <si>
    <t xml:space="preserve">WTU-029</t>
  </si>
  <si>
    <t xml:space="preserve">WTU-030</t>
  </si>
  <si>
    <t xml:space="preserve">  🏠  POSKO TOMONI TIMUR  (30 jenis peralatan terdaftar)</t>
  </si>
  <si>
    <t xml:space="preserve">TMT</t>
  </si>
  <si>
    <t xml:space="preserve">TMT-001</t>
  </si>
  <si>
    <t xml:space="preserve">TMT-002</t>
  </si>
  <si>
    <t xml:space="preserve">TMT-003</t>
  </si>
  <si>
    <t xml:space="preserve">TMT-004</t>
  </si>
  <si>
    <t xml:space="preserve">TMT-005</t>
  </si>
  <si>
    <t xml:space="preserve">TMT-006</t>
  </si>
  <si>
    <t xml:space="preserve">TMT-007</t>
  </si>
  <si>
    <t xml:space="preserve">TMT-008</t>
  </si>
  <si>
    <t xml:space="preserve">TMT-009</t>
  </si>
  <si>
    <t xml:space="preserve">TMT-010</t>
  </si>
  <si>
    <t xml:space="preserve">TMT-011</t>
  </si>
  <si>
    <t xml:space="preserve">TMT-012</t>
  </si>
  <si>
    <t xml:space="preserve">TMT-013</t>
  </si>
  <si>
    <t xml:space="preserve">TMT-014</t>
  </si>
  <si>
    <t xml:space="preserve">TMT-015</t>
  </si>
  <si>
    <t xml:space="preserve">TMT-016</t>
  </si>
  <si>
    <t xml:space="preserve">TMT-017</t>
  </si>
  <si>
    <t xml:space="preserve">TMT-018</t>
  </si>
  <si>
    <t xml:space="preserve">TMT-019</t>
  </si>
  <si>
    <t xml:space="preserve">TMT-020</t>
  </si>
  <si>
    <t xml:space="preserve">TMT-021</t>
  </si>
  <si>
    <t xml:space="preserve">TMT-022</t>
  </si>
  <si>
    <t xml:space="preserve">TMT-023</t>
  </si>
  <si>
    <t xml:space="preserve">TMT-024</t>
  </si>
  <si>
    <t xml:space="preserve">TMT-025</t>
  </si>
  <si>
    <t xml:space="preserve">TMT-026</t>
  </si>
  <si>
    <t xml:space="preserve">TMT-027</t>
  </si>
  <si>
    <t xml:space="preserve">TMT-028</t>
  </si>
  <si>
    <t xml:space="preserve">TMT-029</t>
  </si>
  <si>
    <t xml:space="preserve">TMT-030</t>
  </si>
  <si>
    <t xml:space="preserve">  🏠  POSKO TOWUTI  (30 jenis peralatan terdaftar)</t>
  </si>
  <si>
    <t xml:space="preserve">TWI</t>
  </si>
  <si>
    <t xml:space="preserve">TWI-001</t>
  </si>
  <si>
    <t xml:space="preserve">TWI-002</t>
  </si>
  <si>
    <t xml:space="preserve">TWI-003</t>
  </si>
  <si>
    <t xml:space="preserve">TWI-004</t>
  </si>
  <si>
    <t xml:space="preserve">TWI-005</t>
  </si>
  <si>
    <t xml:space="preserve">TWI-006</t>
  </si>
  <si>
    <t xml:space="preserve">TWI-007</t>
  </si>
  <si>
    <t xml:space="preserve">TWI-008</t>
  </si>
  <si>
    <t xml:space="preserve">TWI-009</t>
  </si>
  <si>
    <t xml:space="preserve">TWI-010</t>
  </si>
  <si>
    <t xml:space="preserve">TWI-011</t>
  </si>
  <si>
    <t xml:space="preserve">TWI-012</t>
  </si>
  <si>
    <t xml:space="preserve">TWI-013</t>
  </si>
  <si>
    <t xml:space="preserve">TWI-014</t>
  </si>
  <si>
    <t xml:space="preserve">TWI-015</t>
  </si>
  <si>
    <t xml:space="preserve">TWI-016</t>
  </si>
  <si>
    <t xml:space="preserve">TWI-017</t>
  </si>
  <si>
    <t xml:space="preserve">TWI-018</t>
  </si>
  <si>
    <t xml:space="preserve">TWI-019</t>
  </si>
  <si>
    <t xml:space="preserve">TWI-020</t>
  </si>
  <si>
    <t xml:space="preserve">TWI-021</t>
  </si>
  <si>
    <t xml:space="preserve">TWI-022</t>
  </si>
  <si>
    <t xml:space="preserve">TWI-023</t>
  </si>
  <si>
    <t xml:space="preserve">TWI-024</t>
  </si>
  <si>
    <t xml:space="preserve">TWI-025</t>
  </si>
  <si>
    <t xml:space="preserve">TWI-026</t>
  </si>
  <si>
    <t xml:space="preserve">TWI-027</t>
  </si>
  <si>
    <t xml:space="preserve">TWI-028</t>
  </si>
  <si>
    <t xml:space="preserve">TWI-029</t>
  </si>
  <si>
    <t xml:space="preserve">TWI-030</t>
  </si>
  <si>
    <t xml:space="preserve">🏠  INVENTARIS POSKO MAKO  |  DAMKAR Kota Luwu Timur  |  Kode: MKO</t>
  </si>
  <si>
    <t xml:space="preserve">Posko: Mako   |   Total Jenis Peralatan: 30   |   Terakhir Diperbarui: ___________   |   Penanggung Jawab: ___________</t>
  </si>
  <si>
    <t xml:space="preserve">Total Jenis</t>
  </si>
  <si>
    <t xml:space="preserve">Total Rusak</t>
  </si>
  <si>
    <t xml:space="preserve">Total Hilang</t>
  </si>
  <si>
    <t xml:space="preserve">Kondisi Baik</t>
  </si>
  <si>
    <t xml:space="preserve">Kode Aset</t>
  </si>
  <si>
    <t xml:space="preserve">Tahun
Pengadaan</t>
  </si>
  <si>
    <t xml:space="preserve">Status</t>
  </si>
  <si>
    <t xml:space="preserve">Keterangan Tambahan</t>
  </si>
  <si>
    <t xml:space="preserve">TOTAL</t>
  </si>
  <si>
    <t xml:space="preserve">🏠  INVENTARIS POSKO KALAENA  |  DAMKAR Kota Luwu Timur  |  Kode: KLN</t>
  </si>
  <si>
    <t xml:space="preserve">Posko: Kalaena   |   Total Jenis Peralatan: 34   |   Terakhir Diperbarui: ___________   |   Penanggung Jawab: ___________</t>
  </si>
  <si>
    <t xml:space="preserve">🏠  INVENTARIS POSKO ANGKONA  |  DAMKAR Kota Luwu Timur  |  Kode: AKN</t>
  </si>
  <si>
    <t xml:space="preserve">Posko: Angkona   |   Total Jenis Peralatan: 33   |   Terakhir Diperbarui: ___________   |   Penanggung Jawab: ___________</t>
  </si>
  <si>
    <t xml:space="preserve">🏠  INVENTARIS POSKO TOMONI  |  DAMKAR Kota Luwu Timur  |  Kode: TMN</t>
  </si>
  <si>
    <t xml:space="preserve">Posko: Tomoni   |   Total Jenis Peralatan: 43   |   Terakhir Diperbarui: ___________   |   Penanggung Jawab: ___________</t>
  </si>
  <si>
    <t xml:space="preserve">🏠  INVENTARIS POSKO WASUPONDA  |  DAMKAR Kota Luwu Timur  |  Kode: WSP</t>
  </si>
  <si>
    <t xml:space="preserve">Posko: Wasuponda   |   Total Jenis Peralatan: 30   |   Terakhir Diperbarui: ___________   |   Penanggung Jawab: ___________</t>
  </si>
  <si>
    <t xml:space="preserve">🏠  INVENTARIS POSKO BARUGA  |  DAMKAR Kota Luwu Timur  |  Kode: BRG</t>
  </si>
  <si>
    <t xml:space="preserve">Posko: Baruga   |   Total Jenis Peralatan: 29   |   Terakhir Diperbarui: ___________   |   Penanggung Jawab: ___________</t>
  </si>
  <si>
    <t xml:space="preserve">🏠  INVENTARIS POSKO BURAU  |  DAMKAR Kota Luwu Timur  |  Kode: BRU</t>
  </si>
  <si>
    <t xml:space="preserve">Posko: Burau   |   Total Jenis Peralatan: 32   |   Terakhir Diperbarui: ___________   |   Penanggung Jawab: ___________</t>
  </si>
  <si>
    <t xml:space="preserve">🏠  INVENTARIS POSKO WOTU  |  DAMKAR Kota Luwu Timur  |  Kode: WTU</t>
  </si>
  <si>
    <t xml:space="preserve">Posko: Wotu   |   Total Jenis Peralatan: 30   |   Terakhir Diperbarui: ___________   |   Penanggung Jawab: ___________</t>
  </si>
  <si>
    <t xml:space="preserve">🏠  INVENTARIS POSKO TOMONI TIMUR  |  DAMKAR Kota Luwu Timur  |  Kode: TMT</t>
  </si>
  <si>
    <t xml:space="preserve">Posko: Tomoni Timur   |   Total Jenis Peralatan: 30   |   Terakhir Diperbarui: ___________   |   Penanggung Jawab: ___________</t>
  </si>
  <si>
    <t xml:space="preserve">🏠  INVENTARIS POSKO TOWUTI  |  DAMKAR Kota Luwu Timur  |  Kode: TWI</t>
  </si>
  <si>
    <t xml:space="preserve">Posko: Towuti   |   Total Jenis Peralatan: 30   |   Terakhir Diperbarui: ___________   |   Penanggung Jawab: ___________</t>
  </si>
  <si>
    <t xml:space="preserve">✅  FORM PENDAFTARAN PERALATAN BARU  |  DAMKAR Kota Luwu Timur</t>
  </si>
  <si>
    <t xml:space="preserve">Timestamp</t>
  </si>
  <si>
    <t xml:space="preserve">Merk Lain</t>
  </si>
  <si>
    <t xml:space="preserve">Link Foto / Bukti</t>
  </si>
  <si>
    <t xml:space="preserve">APAR 6 kg</t>
  </si>
  <si>
    <t xml:space="preserve">https://drive.google.com/...</t>
  </si>
  <si>
    <t xml:space="preserve">Selang 1.5"</t>
  </si>
  <si>
    <t xml:space="preserve">Meter</t>
  </si>
  <si>
    <t xml:space="preserve">🔧  LAPORAN KERUSAKAN / KEHILANGAN / PEMINJAMAN  |  DAMKAR Kota Luwu Timur</t>
  </si>
  <si>
    <t xml:space="preserve">Tanggal
Laporan</t>
  </si>
  <si>
    <t xml:space="preserve">Waktu
Laporan</t>
  </si>
  <si>
    <t xml:space="preserve">Nama Pelapor</t>
  </si>
  <si>
    <t xml:space="preserve">Status Aset</t>
  </si>
  <si>
    <t xml:space="preserve">Tingkat
Kerusakan</t>
  </si>
  <si>
    <t xml:space="preserve">Deskripsi Kejadian</t>
  </si>
  <si>
    <t xml:space="preserve">Tindakan
Sementara</t>
  </si>
  <si>
    <t xml:space="preserve">25/02/2026</t>
  </si>
  <si>
    <t xml:space="preserve">08:30</t>
  </si>
  <si>
    <t xml:space="preserve">Ahmad Rizki</t>
  </si>
  <si>
    <t xml:space="preserve">RUSAK</t>
  </si>
  <si>
    <t xml:space="preserve">Berat</t>
  </si>
  <si>
    <t xml:space="preserve">HT terjatuh saat operasi padamkan api</t>
  </si>
  <si>
    <t xml:space="preserve">Mengirim ke bengkel</t>
  </si>
  <si>
    <t xml:space="preserve">09:15</t>
  </si>
  <si>
    <t xml:space="preserve">Budi Santoso</t>
  </si>
  <si>
    <t xml:space="preserve">HILANG</t>
  </si>
  <si>
    <t xml:space="preserve">APAR tidak ditemukan di posko</t>
  </si>
  <si>
    <t xml:space="preserve">Lapor ke kepala posko</t>
  </si>
  <si>
    <t xml:space="preserve">24/02/2026</t>
  </si>
  <si>
    <t xml:space="preserve">14:00</t>
  </si>
  <si>
    <t xml:space="preserve">Sandi Putra</t>
  </si>
  <si>
    <t xml:space="preserve">Sedang</t>
  </si>
  <si>
    <t xml:space="preserve">Selang retak di bagian tengah</t>
  </si>
  <si>
    <t xml:space="preserve">Ditambal sementara</t>
  </si>
  <si>
    <t xml:space="preserve">🔄  LAPORAN PENGEMBALIAN ASET ANTAR POSKO  |  DAMKAR Kota Luwu Timur</t>
  </si>
  <si>
    <t xml:space="preserve">Tgl Pengembalian</t>
  </si>
  <si>
    <t xml:space="preserve">Waktu</t>
  </si>
  <si>
    <t xml:space="preserve">Petugas Melaporkan</t>
  </si>
  <si>
    <t xml:space="preserve">Petugas Menerima</t>
  </si>
  <si>
    <t xml:space="preserve">Posko Peminjam</t>
  </si>
  <si>
    <t xml:space="preserve">Posko Asal Pemilik</t>
  </si>
  <si>
    <t xml:space="preserve">Kondisi Dikembalikan</t>
  </si>
  <si>
    <t xml:space="preserve">Link Foto</t>
  </si>
  <si>
    <t xml:space="preserve">23/02/2026</t>
  </si>
  <si>
    <t xml:space="preserve">10:00</t>
  </si>
  <si>
    <t xml:space="preserve">Rahmat</t>
  </si>
  <si>
    <t xml:space="preserve">Arif Hidayat</t>
  </si>
  <si>
    <t xml:space="preserve">Baik / Normal</t>
  </si>
  <si>
    <t xml:space="preserve">22/02/2026</t>
  </si>
  <si>
    <t xml:space="preserve">15:30</t>
  </si>
  <si>
    <t xml:space="preserve">Surya</t>
  </si>
  <si>
    <t xml:space="preserve">Dedi Kurniawan</t>
  </si>
  <si>
    <t xml:space="preserve">Rusak Ringan</t>
  </si>
  <si>
    <t xml:space="preserve">📈  REKAP DAN ANALISIS LAPORAN  |  DAMKAR Kota Luwu Timur</t>
  </si>
  <si>
    <t xml:space="preserve">REKAP LAPORAN KERUSAKAN PER POSKO</t>
  </si>
  <si>
    <t xml:space="preserve">Total
Rusak</t>
  </si>
  <si>
    <t xml:space="preserve">Total
Hilang</t>
  </si>
  <si>
    <t xml:space="preserve">Total
Dipinjam</t>
  </si>
  <si>
    <t xml:space="preserve">Sudah
Dikembalikan</t>
  </si>
  <si>
    <t xml:space="preserve">Belum
Dikembalikan</t>
  </si>
  <si>
    <t xml:space="preserve">Total
Laporan</t>
  </si>
  <si>
    <t xml:space="preserve">% Rusak</t>
  </si>
  <si>
    <t xml:space="preserve">% Hilang</t>
  </si>
  <si>
    <t xml:space="preserve">Skor
Risiko</t>
  </si>
  <si>
    <t xml:space="preserve">Rekomendasi</t>
  </si>
  <si>
    <t xml:space="preserve">LEGENDA KODE WARNA &amp; STATUS</t>
  </si>
  <si>
    <t xml:space="preserve">✅ AMAN</t>
  </si>
  <si>
    <t xml:space="preserve">Skor risiko = 0, tidak ada laporan kerusakan/kehilangan</t>
  </si>
  <si>
    <t xml:space="preserve">⚠️ MONITOR</t>
  </si>
  <si>
    <t xml:space="preserve">Skor risiko 1-5, ada kerusakan ringan</t>
  </si>
  <si>
    <t xml:space="preserve">🔴 PERHATIAN</t>
  </si>
  <si>
    <t xml:space="preserve">Skor risiko 6-15, kerusakan cukup banyak</t>
  </si>
  <si>
    <t xml:space="preserve">🚨 KRITIS</t>
  </si>
  <si>
    <t xml:space="preserve">Skor risiko &gt;15, perlu tindakan segera</t>
  </si>
  <si>
    <t xml:space="preserve">⚙️  SHEET REFERENSI — Data Master untuk Dropdown &amp; Validasi</t>
  </si>
  <si>
    <t xml:space="preserve">NAMA POSKO</t>
  </si>
  <si>
    <t xml:space="preserve">STATUS ASET</t>
  </si>
  <si>
    <t xml:space="preserve">TINGKAT KERUSAKAN</t>
  </si>
  <si>
    <t xml:space="preserve">KONDISI BARANG</t>
  </si>
  <si>
    <t xml:space="preserve">STATUS INVENTARIS</t>
  </si>
  <si>
    <t xml:space="preserve">SATUAN</t>
  </si>
  <si>
    <t xml:space="preserve">Ringan</t>
  </si>
  <si>
    <t xml:space="preserve">Rusak</t>
  </si>
  <si>
    <t xml:space="preserve">Buah</t>
  </si>
  <si>
    <t xml:space="preserve">DIPINJAM</t>
  </si>
  <si>
    <t xml:space="preserve">Rusak Sedang</t>
  </si>
  <si>
    <t xml:space="preserve">Hilang</t>
  </si>
  <si>
    <t xml:space="preserve">Set</t>
  </si>
  <si>
    <t xml:space="preserve">Rusak Total</t>
  </si>
  <si>
    <t xml:space="preserve">Rusak Berat</t>
  </si>
  <si>
    <t xml:space="preserve">Cadangan</t>
  </si>
  <si>
    <t xml:space="preserve">Pasang</t>
  </si>
  <si>
    <t xml:space="preserve">Dihapus</t>
  </si>
  <si>
    <t xml:space="preserve">Lembar</t>
  </si>
  <si>
    <t xml:space="preserve">Kg</t>
  </si>
  <si>
    <t xml:space="preserve">Liter</t>
  </si>
  <si>
    <t xml:space="preserve">DAFTAR MERK / TYPE PERALATAN YANG TERDAFTAR</t>
  </si>
  <si>
    <t xml:space="preserve">Kategori Umum</t>
  </si>
  <si>
    <t xml:space="preserve">Umum</t>
  </si>
  <si>
    <t xml:space="preserve">Angus</t>
  </si>
  <si>
    <t xml:space="preserve">Endlessafe</t>
  </si>
  <si>
    <t xml:space="preserve">Lokal / Pabrikan</t>
  </si>
  <si>
    <t xml:space="preserve">Nohmi</t>
  </si>
  <si>
    <t xml:space="preserve">Wipro</t>
  </si>
  <si>
    <t xml:space="preserve">Yamato</t>
  </si>
  <si>
    <t xml:space="preserve">📖  PANDUAN PENGGUNAAN SISTEM PENDATAAN ASET DAMKAR</t>
  </si>
  <si>
    <t xml:space="preserve">DAFTAR SHEET DAN FUNGSINYA</t>
  </si>
  <si>
    <t xml:space="preserve">Sheet</t>
  </si>
  <si>
    <t xml:space="preserve">Fungsi</t>
  </si>
  <si>
    <t xml:space="preserve">📊 Dashboard</t>
  </si>
  <si>
    <t xml:space="preserve">Ringkasan semua data: KPI, rekap per posko, statistik cepat</t>
  </si>
  <si>
    <t xml:space="preserve">📦 Master Inventaris</t>
  </si>
  <si>
    <t xml:space="preserve">Daftar lengkap seluruh peralatan semua 10 posko</t>
  </si>
  <si>
    <t xml:space="preserve">🏠 [Nama Posko]</t>
  </si>
  <si>
    <t xml:space="preserve">Sheet khusus tiap posko (10 sheet, 1 per posko)</t>
  </si>
  <si>
    <t xml:space="preserve">✅ Pendaftaran Baru</t>
  </si>
  <si>
    <t xml:space="preserve">Catat peralatan baru yang masuk ke posko</t>
  </si>
  <si>
    <t xml:space="preserve">🔧 Kerusakan</t>
  </si>
  <si>
    <t xml:space="preserve">Laporan kerusakan, kehilangan, dan peminjaman aset</t>
  </si>
  <si>
    <t xml:space="preserve">🔄 Pengembalian</t>
  </si>
  <si>
    <t xml:space="preserve">Laporan pengembalian aset antar posko</t>
  </si>
  <si>
    <t xml:space="preserve">📈 Rekap &amp; Analisis</t>
  </si>
  <si>
    <t xml:space="preserve">Analisis risiko dan rekap laporan kerusakan per posko</t>
  </si>
  <si>
    <t xml:space="preserve">⚙️ Referensi</t>
  </si>
  <si>
    <t xml:space="preserve">Data master: nama posko, merk, status (jangan diubah sembarangan)</t>
  </si>
  <si>
    <t xml:space="preserve">CARA PENGGUNAAN</t>
  </si>
  <si>
    <t xml:space="preserve">1. Pendaftaran Peralatan Baru</t>
  </si>
  <si>
    <t xml:space="preserve">Langkah:</t>
  </si>
  <si>
    <t xml:space="preserve">Buka sheet Pendaftaran Baru → Isi kolom yang kosong → Pilih Nama Posko dari dropdown → Isi Nama Peralatan, Merk, Jumlah, Tahun → Upload foto ke Google Drive dan paste link</t>
  </si>
  <si>
    <t xml:space="preserve">2. Laporan Kerusakan/Hilang</t>
  </si>
  <si>
    <t xml:space="preserve">Buka sheet Kerusakan → Isi semua kolom → Pilih Status: RUSAK/HILANG/DIPINJAM dari dropdown → Isi Tingkat Kerusakan → Deskripsikan kejadian dan tindakan sementara</t>
  </si>
  <si>
    <t xml:space="preserve">3. Laporan Pengembalian Aset</t>
  </si>
  <si>
    <t xml:space="preserve">Buka sheet Pengembalian → Isi data petugas yang melaporkan dan menerima → Pilih Posko Peminjam dan Posko Asal dari dropdown → Isi kondisi barang saat dikembalikan</t>
  </si>
  <si>
    <t xml:space="preserve">KODE ASET</t>
  </si>
  <si>
    <t xml:space="preserve">Format:</t>
  </si>
  <si>
    <t xml:space="preserve">[Kode Posko]-[Nomor Urut]  |  Contoh: BRG-001 = Baruga item ke-1</t>
  </si>
  <si>
    <t xml:space="preserve">Kode Posko:</t>
  </si>
  <si>
    <t xml:space="preserve">MKO=Mako | KLN=Kalaena | AKN=Angkona | TMN=Tomoni | WSP=Wasuponda | BRG=Baruga | BRU=Burau | WTU=Wotu | TMT=Tomoni Timur | TWI=Towuti</t>
  </si>
  <si>
    <t xml:space="preserve">CATATAN PENTING</t>
  </si>
  <si>
    <t xml:space="preserve">Jangan ubah sheet Referensi</t>
  </si>
  <si>
    <t xml:space="preserve">kecuali ada perubahan kebijakan. Sheet ini digunakan sebagai sumber dropdown.</t>
  </si>
  <si>
    <t xml:space="preserve">Backup rutin</t>
  </si>
  <si>
    <t xml:space="preserve">Lakukan backup file Excel ini setiap minggu ke Google Drive atau server.</t>
  </si>
  <si>
    <t xml:space="preserve">Integrasi Web</t>
  </si>
  <si>
    <t xml:space="preserve">Jika menggunakan Google Apps Script, setiap form submission otomatis mengisi sheet yang sesuai.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</si>
</sst>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%"/>
    <numFmt numFmtId="167" formatCode="0"/>
    <numFmt numFmtId="168" formatCode="000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sz val="10"/>
      <color rgb="FF7F8C8D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20"/>
      <color rgb="FF6C35DE"/>
      <name val="Arial"/>
      <family val="0"/>
      <charset val="1"/>
    </font>
    <font>
      <b val="true"/>
      <sz val="20"/>
      <color rgb="FFC0392B"/>
      <name val="Arial"/>
      <family val="0"/>
      <charset val="1"/>
    </font>
    <font>
      <b val="true"/>
      <sz val="20"/>
      <color rgb="FF0D7377"/>
      <name val="Arial"/>
      <family val="0"/>
      <charset val="1"/>
    </font>
    <font>
      <b val="true"/>
      <sz val="20"/>
      <color rgb="FFD35400"/>
      <name val="Arial"/>
      <family val="0"/>
      <charset val="1"/>
    </font>
    <font>
      <b val="true"/>
      <sz val="20"/>
      <color rgb="FF2C3E50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sz val="9"/>
      <color rgb="FF7F8C8D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8"/>
      <color rgb="FF2C3E50"/>
      <name val="Arial"/>
      <family val="0"/>
      <charset val="1"/>
    </font>
    <font>
      <b val="true"/>
      <sz val="18"/>
      <color rgb="FFC0392B"/>
      <name val="Arial"/>
      <family val="0"/>
      <charset val="1"/>
    </font>
    <font>
      <b val="true"/>
      <sz val="18"/>
      <color rgb="FFE67E22"/>
      <name val="Arial"/>
      <family val="0"/>
      <charset val="1"/>
    </font>
    <font>
      <b val="true"/>
      <sz val="18"/>
      <color rgb="FF1E8449"/>
      <name val="Arial"/>
      <family val="0"/>
      <charset val="1"/>
    </font>
    <font>
      <b val="true"/>
      <sz val="18"/>
      <color rgb="FF0D7377"/>
      <name val="Arial"/>
      <family val="0"/>
      <charset val="1"/>
    </font>
    <font>
      <b val="true"/>
      <sz val="18"/>
      <color rgb="FF1A5276"/>
      <name val="Arial"/>
      <family val="0"/>
      <charset val="1"/>
    </font>
    <font>
      <b val="true"/>
      <sz val="18"/>
      <color rgb="FF6C35DE"/>
      <name val="Arial"/>
      <family val="0"/>
      <charset val="1"/>
    </font>
    <font>
      <b val="true"/>
      <sz val="18"/>
      <color rgb="FFD35400"/>
      <name val="Arial"/>
      <family val="0"/>
      <charset val="1"/>
    </font>
    <font>
      <b val="true"/>
      <sz val="18"/>
      <color rgb="FF795548"/>
      <name val="Arial"/>
      <family val="0"/>
      <charset val="1"/>
    </font>
    <font>
      <b val="true"/>
      <sz val="18"/>
      <color rgb="FF4A148C"/>
      <name val="Arial"/>
      <family val="0"/>
      <charset val="1"/>
    </font>
    <font>
      <b val="true"/>
      <sz val="18"/>
      <color rgb="FF006064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D35400"/>
      <name val="Arial"/>
      <family val="0"/>
      <charset val="1"/>
    </font>
    <font>
      <b val="true"/>
      <sz val="10"/>
      <color rgb="FF1E8449"/>
      <name val="Arial"/>
      <family val="0"/>
      <charset val="1"/>
    </font>
    <font>
      <b val="true"/>
      <sz val="10"/>
      <color rgb="FFD35400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9"/>
      <color rgb="FF6C35DE"/>
      <name val="Arial"/>
      <family val="0"/>
      <charset val="1"/>
    </font>
    <font>
      <b val="true"/>
      <sz val="9"/>
      <color rgb="FF0D7377"/>
      <name val="Arial"/>
      <family val="0"/>
      <charset val="1"/>
    </font>
  </fonts>
  <fills count="30">
    <fill>
      <patternFill patternType="none"/>
    </fill>
    <fill>
      <patternFill patternType="gray125"/>
    </fill>
    <fill>
      <patternFill patternType="solid">
        <fgColor rgb="FFC0392B"/>
        <bgColor rgb="FFD35400"/>
      </patternFill>
    </fill>
    <fill>
      <patternFill patternType="solid">
        <fgColor rgb="FFF8F9FA"/>
        <bgColor rgb="FFF9F9F9"/>
      </patternFill>
    </fill>
    <fill>
      <patternFill patternType="solid">
        <fgColor rgb="FF6C35DE"/>
        <bgColor rgb="FF4A148C"/>
      </patternFill>
    </fill>
    <fill>
      <patternFill patternType="solid">
        <fgColor rgb="FF0D7377"/>
        <bgColor rgb="FF006064"/>
      </patternFill>
    </fill>
    <fill>
      <patternFill patternType="solid">
        <fgColor rgb="FFD35400"/>
        <bgColor rgb="FFC0392B"/>
      </patternFill>
    </fill>
    <fill>
      <patternFill patternType="solid">
        <fgColor rgb="FF2C3E50"/>
        <bgColor rgb="FF1A5276"/>
      </patternFill>
    </fill>
    <fill>
      <patternFill patternType="solid">
        <fgColor rgb="FFEAE6F8"/>
        <bgColor rgb="FFF3E5F5"/>
      </patternFill>
    </fill>
    <fill>
      <patternFill patternType="solid">
        <fgColor rgb="FFFADBD8"/>
        <bgColor rgb="FFFBE9E7"/>
      </patternFill>
    </fill>
    <fill>
      <patternFill patternType="solid">
        <fgColor rgb="FFD1F2EB"/>
        <bgColor rgb="FFD5F5E3"/>
      </patternFill>
    </fill>
    <fill>
      <patternFill patternType="solid">
        <fgColor rgb="FFFDEBD0"/>
        <bgColor rgb="FFFFF3CD"/>
      </patternFill>
    </fill>
    <fill>
      <patternFill patternType="solid">
        <fgColor rgb="FFECF0F1"/>
        <bgColor rgb="FFF5F5F5"/>
      </patternFill>
    </fill>
    <fill>
      <patternFill patternType="solid">
        <fgColor rgb="FFF9F9F9"/>
        <bgColor rgb="FFF8F9FA"/>
      </patternFill>
    </fill>
    <fill>
      <patternFill patternType="solid">
        <fgColor rgb="FFFFFFFF"/>
        <bgColor rgb="FFFAFAFA"/>
      </patternFill>
    </fill>
    <fill>
      <patternFill patternType="solid">
        <fgColor rgb="FF1A5276"/>
        <bgColor rgb="FF006064"/>
      </patternFill>
    </fill>
    <fill>
      <patternFill patternType="solid">
        <fgColor rgb="FFD6EAF8"/>
        <bgColor rgb="FFD1F2EB"/>
      </patternFill>
    </fill>
    <fill>
      <patternFill patternType="solid">
        <fgColor rgb="FF1E8449"/>
        <bgColor rgb="FF0D7377"/>
      </patternFill>
    </fill>
    <fill>
      <patternFill patternType="solid">
        <fgColor rgb="FFD5F5E3"/>
        <bgColor rgb="FFD1F2EB"/>
      </patternFill>
    </fill>
    <fill>
      <patternFill patternType="solid">
        <fgColor rgb="FF795548"/>
        <bgColor rgb="FF993366"/>
      </patternFill>
    </fill>
    <fill>
      <patternFill patternType="solid">
        <fgColor rgb="FFFBE9E7"/>
        <bgColor rgb="FFF3E5F5"/>
      </patternFill>
    </fill>
    <fill>
      <patternFill patternType="solid">
        <fgColor rgb="FF4A148C"/>
        <bgColor rgb="FF800080"/>
      </patternFill>
    </fill>
    <fill>
      <patternFill patternType="solid">
        <fgColor rgb="FFF3E5F5"/>
        <bgColor rgb="FFEAE6F8"/>
      </patternFill>
    </fill>
    <fill>
      <patternFill patternType="solid">
        <fgColor rgb="FF006064"/>
        <bgColor rgb="FF0D7377"/>
      </patternFill>
    </fill>
    <fill>
      <patternFill patternType="solid">
        <fgColor rgb="FFE0F7FA"/>
        <bgColor rgb="FFECF0F1"/>
      </patternFill>
    </fill>
    <fill>
      <patternFill patternType="solid">
        <fgColor rgb="FFFAFAFA"/>
        <bgColor rgb="FFF9F9F9"/>
      </patternFill>
    </fill>
    <fill>
      <patternFill patternType="solid">
        <fgColor rgb="FFE67E22"/>
        <bgColor rgb="FFFF9900"/>
      </patternFill>
    </fill>
    <fill>
      <patternFill patternType="solid">
        <fgColor rgb="FFF5F5F5"/>
        <bgColor rgb="FFF8F9FA"/>
      </patternFill>
    </fill>
    <fill>
      <patternFill patternType="solid">
        <fgColor rgb="FFFEF5F5"/>
        <bgColor rgb="FFF9F9F9"/>
      </patternFill>
    </fill>
    <fill>
      <patternFill patternType="solid">
        <fgColor rgb="FFFFF3CD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thin">
        <color rgb="FFBBBBBB"/>
      </left>
      <right/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9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1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2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1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18" fillId="2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25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2" fillId="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3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24" fillId="1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1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1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1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7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2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19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2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1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2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2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2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8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1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1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8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2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EF5F5"/>
      <rgbColor rgb="FFFF00FF"/>
      <rgbColor rgb="FF00FFFF"/>
      <rgbColor rgb="FF800000"/>
      <rgbColor rgb="FF008000"/>
      <rgbColor rgb="FF000080"/>
      <rgbColor rgb="FF808000"/>
      <rgbColor rgb="FF800080"/>
      <rgbColor rgb="FF0D7377"/>
      <rgbColor rgb="FFBBBBBB"/>
      <rgbColor rgb="FF7F8C8D"/>
      <rgbColor rgb="FFECF0F1"/>
      <rgbColor rgb="FFD35400"/>
      <rgbColor rgb="FFFFF3CD"/>
      <rgbColor rgb="FFD1F2EB"/>
      <rgbColor rgb="FF4A148C"/>
      <rgbColor rgb="FFFAFAFA"/>
      <rgbColor rgb="FF0066CC"/>
      <rgbColor rgb="FFD6EAF8"/>
      <rgbColor rgb="FF000080"/>
      <rgbColor rgb="FFFF00FF"/>
      <rgbColor rgb="FFF5F5F5"/>
      <rgbColor rgb="FF00FFFF"/>
      <rgbColor rgb="FF800080"/>
      <rgbColor rgb="FF800000"/>
      <rgbColor rgb="FF006064"/>
      <rgbColor rgb="FF0000FF"/>
      <rgbColor rgb="FF00CCFF"/>
      <rgbColor rgb="FFE0F7FA"/>
      <rgbColor rgb="FFD5F5E3"/>
      <rgbColor rgb="FFFDEBD0"/>
      <rgbColor rgb="FFEAE6F8"/>
      <rgbColor rgb="FFF3E5F5"/>
      <rgbColor rgb="FFFBE9E7"/>
      <rgbColor rgb="FFFADBD8"/>
      <rgbColor rgb="FF3366FF"/>
      <rgbColor rgb="FF33CCCC"/>
      <rgbColor rgb="FF99CC00"/>
      <rgbColor rgb="FFF9F9F9"/>
      <rgbColor rgb="FFFF9900"/>
      <rgbColor rgb="FFE67E22"/>
      <rgbColor rgb="FF795548"/>
      <rgbColor rgb="FFF8F9FA"/>
      <rgbColor rgb="FF1A5276"/>
      <rgbColor rgb="FF1E8449"/>
      <rgbColor rgb="FF003300"/>
      <rgbColor rgb="FF333300"/>
      <rgbColor rgb="FFC0392B"/>
      <rgbColor rgb="FF993366"/>
      <rgbColor rgb="FF6C35DE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1" topLeftCell="A1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12"/>
    <col collapsed="false" customWidth="true" hidden="false" outlineLevel="0" max="7" min="7" style="0" width="16"/>
    <col collapsed="false" customWidth="true" hidden="false" outlineLevel="0" max="9" min="8" style="0" width="14"/>
    <col collapsed="false" customWidth="true" hidden="false" outlineLevel="0" max="10" min="10" style="0" width="16"/>
    <col collapsed="false" customWidth="true" hidden="false" outlineLevel="0" max="11" min="11" style="0" width="18"/>
    <col collapsed="false" customWidth="true" hidden="false" outlineLevel="0" max="14" min="12" style="0" width="5"/>
  </cols>
  <sheetData>
    <row r="1" customFormat="false" ht="6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21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24" hidden="false" customHeight="true" outlineLevel="0" collapsed="false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  <c r="J4" s="6" t="s">
        <v>5</v>
      </c>
      <c r="K4" s="6"/>
      <c r="L4" s="6"/>
      <c r="M4" s="7" t="s">
        <v>6</v>
      </c>
      <c r="N4" s="7"/>
    </row>
    <row r="5" customFormat="false" ht="24" hidden="false" customHeight="true" outlineLevel="0" collapsed="false">
      <c r="A5" s="3"/>
      <c r="B5" s="3"/>
      <c r="C5" s="3"/>
      <c r="D5" s="4"/>
      <c r="E5" s="4"/>
      <c r="F5" s="4"/>
      <c r="G5" s="5"/>
      <c r="H5" s="5"/>
      <c r="I5" s="5"/>
      <c r="J5" s="6"/>
      <c r="K5" s="6"/>
      <c r="L5" s="6"/>
      <c r="M5" s="7"/>
      <c r="N5" s="7"/>
    </row>
    <row r="6" customFormat="false" ht="24" hidden="false" customHeight="true" outlineLevel="0" collapsed="false">
      <c r="A6" s="8" t="n">
        <f aca="false">COUNTA('📦 Master Inventaris'!D:D)-1</f>
        <v>321</v>
      </c>
      <c r="B6" s="8"/>
      <c r="C6" s="8"/>
      <c r="D6" s="9" t="n">
        <f aca="false">COUNTA('🔧 Kerusakan'!A:A)-2</f>
        <v>4</v>
      </c>
      <c r="E6" s="9"/>
      <c r="F6" s="9"/>
      <c r="G6" s="10" t="n">
        <f aca="false">COUNTA('🔄 Pengembalian'!A:A)-2</f>
        <v>3</v>
      </c>
      <c r="H6" s="10"/>
      <c r="I6" s="10"/>
      <c r="J6" s="11" t="n">
        <v>10</v>
      </c>
      <c r="K6" s="11"/>
      <c r="L6" s="11"/>
      <c r="M6" s="12" t="str">
        <f aca="true">TEXT(TODAY(),"DD/MM/YYYY")</f>
        <v>25/02/2026</v>
      </c>
      <c r="N6" s="12"/>
    </row>
    <row r="7" customFormat="false" ht="21.75" hidden="false" customHeight="true" outlineLevel="0" collapsed="false">
      <c r="A7" s="8"/>
      <c r="B7" s="8"/>
      <c r="C7" s="8"/>
      <c r="D7" s="9"/>
      <c r="E7" s="9"/>
      <c r="F7" s="9"/>
      <c r="G7" s="10"/>
      <c r="H7" s="10"/>
      <c r="I7" s="10"/>
      <c r="J7" s="11"/>
      <c r="K7" s="11"/>
      <c r="L7" s="11"/>
      <c r="M7" s="12"/>
      <c r="N7" s="12"/>
    </row>
    <row r="8" customFormat="false" ht="21.75" hidden="false" customHeight="true" outlineLevel="0" collapsed="false">
      <c r="A8" s="8"/>
      <c r="B8" s="8"/>
      <c r="C8" s="8"/>
      <c r="D8" s="9"/>
      <c r="E8" s="9"/>
      <c r="F8" s="9"/>
      <c r="G8" s="10"/>
      <c r="H8" s="10"/>
      <c r="I8" s="10"/>
      <c r="J8" s="11"/>
      <c r="K8" s="11"/>
      <c r="L8" s="11"/>
      <c r="M8" s="12"/>
      <c r="N8" s="12"/>
    </row>
    <row r="10" customFormat="false" ht="25.5" hidden="false" customHeight="true" outlineLevel="0" collapsed="false">
      <c r="A10" s="13" t="s">
        <v>7</v>
      </c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</row>
    <row r="11" customFormat="false" ht="27.75" hidden="false" customHeight="true" outlineLevel="0" collapsed="false">
      <c r="A11" s="14" t="s">
        <v>8</v>
      </c>
      <c r="B11" s="14" t="s">
        <v>9</v>
      </c>
      <c r="C11" s="14" t="s">
        <v>10</v>
      </c>
      <c r="D11" s="14" t="s">
        <v>11</v>
      </c>
      <c r="E11" s="14" t="s">
        <v>12</v>
      </c>
      <c r="F11" s="14" t="s">
        <v>13</v>
      </c>
      <c r="G11" s="14" t="s">
        <v>14</v>
      </c>
      <c r="H11" s="14" t="s">
        <v>15</v>
      </c>
      <c r="I11" s="14" t="s">
        <v>16</v>
      </c>
      <c r="J11" s="14" t="s">
        <v>17</v>
      </c>
      <c r="K11" s="14" t="s">
        <v>18</v>
      </c>
    </row>
    <row r="12" customFormat="false" ht="19.5" hidden="false" customHeight="true" outlineLevel="0" collapsed="false">
      <c r="A12" s="15" t="n">
        <v>1</v>
      </c>
      <c r="B12" s="16" t="s">
        <v>19</v>
      </c>
      <c r="C12" s="15" t="n">
        <f aca="false">COUNTIF('📦 Master Inventaris'!B:B,B12)</f>
        <v>30</v>
      </c>
      <c r="D12" s="15" t="n">
        <f aca="false">COUNTIFS('🔧 Kerusakan'!E:E,B12,'🔧 Kerusakan'!H:H,"RUSAK")</f>
        <v>0</v>
      </c>
      <c r="E12" s="15" t="n">
        <f aca="false">COUNTIFS('🔧 Kerusakan'!E:E,B12,'🔧 Kerusakan'!H:H,"HILANG")</f>
        <v>0</v>
      </c>
      <c r="F12" s="15" t="n">
        <f aca="false">COUNTIFS('🔧 Kerusakan'!E:E,B12,'🔧 Kerusakan'!H:H,"DIPINJAM")</f>
        <v>0</v>
      </c>
      <c r="G12" s="15" t="n">
        <f aca="false">COUNTIF('🔄 Pengembalian'!G:G,B12)</f>
        <v>0</v>
      </c>
      <c r="H12" s="15" t="n">
        <f aca="false">D12+E12+F12+G12</f>
        <v>0</v>
      </c>
      <c r="I12" s="17" t="n">
        <f aca="false">IFERROR((D12+E12)/MAX(H12,1),0)</f>
        <v>0</v>
      </c>
      <c r="J12" s="15" t="str">
        <f aca="false">IF(D12+E12=0,"✅ Normal",IF(D12+E12&lt;=2,"⚠️ Perhatian","🚨 Kritis"))</f>
        <v>✅ Normal</v>
      </c>
      <c r="K12" s="18" t="s">
        <v>20</v>
      </c>
    </row>
    <row r="13" customFormat="false" ht="19.5" hidden="false" customHeight="true" outlineLevel="0" collapsed="false">
      <c r="A13" s="19" t="n">
        <v>2</v>
      </c>
      <c r="B13" s="20" t="s">
        <v>21</v>
      </c>
      <c r="C13" s="19" t="n">
        <f aca="false">COUNTIF('📦 Master Inventaris'!B:B,B13)</f>
        <v>34</v>
      </c>
      <c r="D13" s="19" t="n">
        <f aca="false">COUNTIFS('🔧 Kerusakan'!E:E,B13,'🔧 Kerusakan'!H:H,"RUSAK")</f>
        <v>0</v>
      </c>
      <c r="E13" s="19" t="n">
        <f aca="false">COUNTIFS('🔧 Kerusakan'!E:E,B13,'🔧 Kerusakan'!H:H,"HILANG")</f>
        <v>0</v>
      </c>
      <c r="F13" s="19" t="n">
        <f aca="false">COUNTIFS('🔧 Kerusakan'!E:E,B13,'🔧 Kerusakan'!H:H,"DIPINJAM")</f>
        <v>0</v>
      </c>
      <c r="G13" s="19" t="n">
        <f aca="false">COUNTIF('🔄 Pengembalian'!G:G,B13)</f>
        <v>0</v>
      </c>
      <c r="H13" s="19" t="n">
        <f aca="false">D13+E13+F13+G13</f>
        <v>0</v>
      </c>
      <c r="I13" s="21" t="n">
        <f aca="false">IFERROR((D13+E13)/MAX(H13,1),0)</f>
        <v>0</v>
      </c>
      <c r="J13" s="19" t="str">
        <f aca="false">IF(D13+E13=0,"✅ Normal",IF(D13+E13&lt;=2,"⚠️ Perhatian","🚨 Kritis"))</f>
        <v>✅ Normal</v>
      </c>
      <c r="K13" s="22" t="s">
        <v>20</v>
      </c>
    </row>
    <row r="14" customFormat="false" ht="19.5" hidden="false" customHeight="true" outlineLevel="0" collapsed="false">
      <c r="A14" s="15" t="n">
        <v>3</v>
      </c>
      <c r="B14" s="16" t="s">
        <v>22</v>
      </c>
      <c r="C14" s="15" t="n">
        <f aca="false">COUNTIF('📦 Master Inventaris'!B:B,B14)</f>
        <v>33</v>
      </c>
      <c r="D14" s="15" t="n">
        <f aca="false">COUNTIFS('🔧 Kerusakan'!E:E,B14,'🔧 Kerusakan'!H:H,"RUSAK")</f>
        <v>0</v>
      </c>
      <c r="E14" s="15" t="n">
        <f aca="false">COUNTIFS('🔧 Kerusakan'!E:E,B14,'🔧 Kerusakan'!H:H,"HILANG")</f>
        <v>0</v>
      </c>
      <c r="F14" s="15" t="n">
        <f aca="false">COUNTIFS('🔧 Kerusakan'!E:E,B14,'🔧 Kerusakan'!H:H,"DIPINJAM")</f>
        <v>0</v>
      </c>
      <c r="G14" s="15" t="n">
        <f aca="false">COUNTIF('🔄 Pengembalian'!G:G,B14)</f>
        <v>0</v>
      </c>
      <c r="H14" s="15" t="n">
        <f aca="false">D14+E14+F14+G14</f>
        <v>0</v>
      </c>
      <c r="I14" s="17" t="n">
        <f aca="false">IFERROR((D14+E14)/MAX(H14,1),0)</f>
        <v>0</v>
      </c>
      <c r="J14" s="15" t="str">
        <f aca="false">IF(D14+E14=0,"✅ Normal",IF(D14+E14&lt;=2,"⚠️ Perhatian","🚨 Kritis"))</f>
        <v>✅ Normal</v>
      </c>
      <c r="K14" s="18" t="s">
        <v>20</v>
      </c>
    </row>
    <row r="15" customFormat="false" ht="19.5" hidden="false" customHeight="true" outlineLevel="0" collapsed="false">
      <c r="A15" s="19" t="n">
        <v>4</v>
      </c>
      <c r="B15" s="20" t="s">
        <v>23</v>
      </c>
      <c r="C15" s="19" t="n">
        <f aca="false">COUNTIF('📦 Master Inventaris'!B:B,B15)</f>
        <v>43</v>
      </c>
      <c r="D15" s="19" t="n">
        <f aca="false">COUNTIFS('🔧 Kerusakan'!E:E,B15,'🔧 Kerusakan'!H:H,"RUSAK")</f>
        <v>0</v>
      </c>
      <c r="E15" s="19" t="n">
        <f aca="false">COUNTIFS('🔧 Kerusakan'!E:E,B15,'🔧 Kerusakan'!H:H,"HILANG")</f>
        <v>0</v>
      </c>
      <c r="F15" s="19" t="n">
        <f aca="false">COUNTIFS('🔧 Kerusakan'!E:E,B15,'🔧 Kerusakan'!H:H,"DIPINJAM")</f>
        <v>0</v>
      </c>
      <c r="G15" s="19" t="n">
        <f aca="false">COUNTIF('🔄 Pengembalian'!G:G,B15)</f>
        <v>1</v>
      </c>
      <c r="H15" s="19" t="n">
        <f aca="false">D15+E15+F15+G15</f>
        <v>1</v>
      </c>
      <c r="I15" s="21" t="n">
        <f aca="false">IFERROR((D15+E15)/MAX(H15,1),0)</f>
        <v>0</v>
      </c>
      <c r="J15" s="19" t="str">
        <f aca="false">IF(D15+E15=0,"✅ Normal",IF(D15+E15&lt;=2,"⚠️ Perhatian","🚨 Kritis"))</f>
        <v>✅ Normal</v>
      </c>
      <c r="K15" s="22" t="s">
        <v>20</v>
      </c>
    </row>
    <row r="16" customFormat="false" ht="19.5" hidden="false" customHeight="true" outlineLevel="0" collapsed="false">
      <c r="A16" s="15" t="n">
        <v>5</v>
      </c>
      <c r="B16" s="16" t="s">
        <v>24</v>
      </c>
      <c r="C16" s="15" t="n">
        <f aca="false">COUNTIF('📦 Master Inventaris'!B:B,B16)</f>
        <v>30</v>
      </c>
      <c r="D16" s="15" t="n">
        <f aca="false">COUNTIFS('🔧 Kerusakan'!E:E,B16,'🔧 Kerusakan'!H:H,"RUSAK")</f>
        <v>0</v>
      </c>
      <c r="E16" s="15" t="n">
        <f aca="false">COUNTIFS('🔧 Kerusakan'!E:E,B16,'🔧 Kerusakan'!H:H,"HILANG")</f>
        <v>0</v>
      </c>
      <c r="F16" s="15" t="n">
        <f aca="false">COUNTIFS('🔧 Kerusakan'!E:E,B16,'🔧 Kerusakan'!H:H,"DIPINJAM")</f>
        <v>0</v>
      </c>
      <c r="G16" s="15" t="n">
        <f aca="false">COUNTIF('🔄 Pengembalian'!G:G,B16)</f>
        <v>0</v>
      </c>
      <c r="H16" s="15" t="n">
        <f aca="false">D16+E16+F16+G16</f>
        <v>0</v>
      </c>
      <c r="I16" s="17" t="n">
        <f aca="false">IFERROR((D16+E16)/MAX(H16,1),0)</f>
        <v>0</v>
      </c>
      <c r="J16" s="15" t="str">
        <f aca="false">IF(D16+E16=0,"✅ Normal",IF(D16+E16&lt;=2,"⚠️ Perhatian","🚨 Kritis"))</f>
        <v>✅ Normal</v>
      </c>
      <c r="K16" s="18" t="s">
        <v>20</v>
      </c>
    </row>
    <row r="17" customFormat="false" ht="19.5" hidden="false" customHeight="true" outlineLevel="0" collapsed="false">
      <c r="A17" s="19" t="n">
        <v>6</v>
      </c>
      <c r="B17" s="20" t="s">
        <v>25</v>
      </c>
      <c r="C17" s="19" t="n">
        <f aca="false">COUNTIF('📦 Master Inventaris'!B:B,B17)</f>
        <v>29</v>
      </c>
      <c r="D17" s="19" t="n">
        <f aca="false">COUNTIFS('🔧 Kerusakan'!E:E,B17,'🔧 Kerusakan'!H:H,"RUSAK")</f>
        <v>0</v>
      </c>
      <c r="E17" s="19" t="n">
        <f aca="false">COUNTIFS('🔧 Kerusakan'!E:E,B17,'🔧 Kerusakan'!H:H,"HILANG")</f>
        <v>0</v>
      </c>
      <c r="F17" s="19" t="n">
        <f aca="false">COUNTIFS('🔧 Kerusakan'!E:E,B17,'🔧 Kerusakan'!H:H,"DIPINJAM")</f>
        <v>0</v>
      </c>
      <c r="G17" s="19" t="n">
        <f aca="false">COUNTIF('🔄 Pengembalian'!G:G,B17)</f>
        <v>0</v>
      </c>
      <c r="H17" s="19" t="n">
        <f aca="false">D17+E17+F17+G17</f>
        <v>0</v>
      </c>
      <c r="I17" s="21" t="n">
        <f aca="false">IFERROR((D17+E17)/MAX(H17,1),0)</f>
        <v>0</v>
      </c>
      <c r="J17" s="19" t="str">
        <f aca="false">IF(D17+E17=0,"✅ Normal",IF(D17+E17&lt;=2,"⚠️ Perhatian","🚨 Kritis"))</f>
        <v>✅ Normal</v>
      </c>
      <c r="K17" s="22" t="s">
        <v>20</v>
      </c>
    </row>
    <row r="18" customFormat="false" ht="19.5" hidden="false" customHeight="true" outlineLevel="0" collapsed="false">
      <c r="A18" s="15" t="n">
        <v>7</v>
      </c>
      <c r="B18" s="16" t="s">
        <v>26</v>
      </c>
      <c r="C18" s="15" t="n">
        <f aca="false">COUNTIF('📦 Master Inventaris'!B:B,B18)</f>
        <v>32</v>
      </c>
      <c r="D18" s="15" t="n">
        <f aca="false">COUNTIFS('🔧 Kerusakan'!E:E,B18,'🔧 Kerusakan'!H:H,"RUSAK")</f>
        <v>0</v>
      </c>
      <c r="E18" s="15" t="n">
        <f aca="false">COUNTIFS('🔧 Kerusakan'!E:E,B18,'🔧 Kerusakan'!H:H,"HILANG")</f>
        <v>0</v>
      </c>
      <c r="F18" s="15" t="n">
        <f aca="false">COUNTIFS('🔧 Kerusakan'!E:E,B18,'🔧 Kerusakan'!H:H,"DIPINJAM")</f>
        <v>0</v>
      </c>
      <c r="G18" s="15" t="n">
        <f aca="false">COUNTIF('🔄 Pengembalian'!G:G,B18)</f>
        <v>1</v>
      </c>
      <c r="H18" s="15" t="n">
        <f aca="false">D18+E18+F18+G18</f>
        <v>1</v>
      </c>
      <c r="I18" s="17" t="n">
        <f aca="false">IFERROR((D18+E18)/MAX(H18,1),0)</f>
        <v>0</v>
      </c>
      <c r="J18" s="15" t="str">
        <f aca="false">IF(D18+E18=0,"✅ Normal",IF(D18+E18&lt;=2,"⚠️ Perhatian","🚨 Kritis"))</f>
        <v>✅ Normal</v>
      </c>
      <c r="K18" s="18" t="s">
        <v>20</v>
      </c>
    </row>
    <row r="19" customFormat="false" ht="19.5" hidden="false" customHeight="true" outlineLevel="0" collapsed="false">
      <c r="A19" s="19" t="n">
        <v>8</v>
      </c>
      <c r="B19" s="20" t="s">
        <v>27</v>
      </c>
      <c r="C19" s="19" t="n">
        <f aca="false">COUNTIF('📦 Master Inventaris'!B:B,B19)</f>
        <v>30</v>
      </c>
      <c r="D19" s="19" t="n">
        <f aca="false">COUNTIFS('🔧 Kerusakan'!E:E,B19,'🔧 Kerusakan'!H:H,"RUSAK")</f>
        <v>0</v>
      </c>
      <c r="E19" s="19" t="n">
        <f aca="false">COUNTIFS('🔧 Kerusakan'!E:E,B19,'🔧 Kerusakan'!H:H,"HILANG")</f>
        <v>0</v>
      </c>
      <c r="F19" s="19" t="n">
        <f aca="false">COUNTIFS('🔧 Kerusakan'!E:E,B19,'🔧 Kerusakan'!H:H,"DIPINJAM")</f>
        <v>0</v>
      </c>
      <c r="G19" s="19" t="n">
        <f aca="false">COUNTIF('🔄 Pengembalian'!G:G,B19)</f>
        <v>0</v>
      </c>
      <c r="H19" s="19" t="n">
        <f aca="false">D19+E19+F19+G19</f>
        <v>0</v>
      </c>
      <c r="I19" s="21" t="n">
        <f aca="false">IFERROR((D19+E19)/MAX(H19,1),0)</f>
        <v>0</v>
      </c>
      <c r="J19" s="19" t="str">
        <f aca="false">IF(D19+E19=0,"✅ Normal",IF(D19+E19&lt;=2,"⚠️ Perhatian","🚨 Kritis"))</f>
        <v>✅ Normal</v>
      </c>
      <c r="K19" s="22" t="s">
        <v>20</v>
      </c>
    </row>
    <row r="20" customFormat="false" ht="19.5" hidden="false" customHeight="true" outlineLevel="0" collapsed="false">
      <c r="A20" s="15" t="n">
        <v>9</v>
      </c>
      <c r="B20" s="16" t="s">
        <v>28</v>
      </c>
      <c r="C20" s="15" t="n">
        <f aca="false">COUNTIF('📦 Master Inventaris'!B:B,B20)</f>
        <v>30</v>
      </c>
      <c r="D20" s="15" t="n">
        <f aca="false">COUNTIFS('🔧 Kerusakan'!E:E,B20,'🔧 Kerusakan'!H:H,"RUSAK")</f>
        <v>0</v>
      </c>
      <c r="E20" s="15" t="n">
        <f aca="false">COUNTIFS('🔧 Kerusakan'!E:E,B20,'🔧 Kerusakan'!H:H,"HILANG")</f>
        <v>0</v>
      </c>
      <c r="F20" s="15" t="n">
        <f aca="false">COUNTIFS('🔧 Kerusakan'!E:E,B20,'🔧 Kerusakan'!H:H,"DIPINJAM")</f>
        <v>0</v>
      </c>
      <c r="G20" s="15" t="n">
        <f aca="false">COUNTIF('🔄 Pengembalian'!G:G,B20)</f>
        <v>0</v>
      </c>
      <c r="H20" s="15" t="n">
        <f aca="false">D20+E20+F20+G20</f>
        <v>0</v>
      </c>
      <c r="I20" s="17" t="n">
        <f aca="false">IFERROR((D20+E20)/MAX(H20,1),0)</f>
        <v>0</v>
      </c>
      <c r="J20" s="15" t="str">
        <f aca="false">IF(D20+E20=0,"✅ Normal",IF(D20+E20&lt;=2,"⚠️ Perhatian","🚨 Kritis"))</f>
        <v>✅ Normal</v>
      </c>
      <c r="K20" s="18" t="s">
        <v>20</v>
      </c>
    </row>
    <row r="21" customFormat="false" ht="19.5" hidden="false" customHeight="true" outlineLevel="0" collapsed="false">
      <c r="A21" s="19" t="n">
        <v>10</v>
      </c>
      <c r="B21" s="20" t="s">
        <v>29</v>
      </c>
      <c r="C21" s="19" t="n">
        <f aca="false">COUNTIF('📦 Master Inventaris'!B:B,B21)</f>
        <v>30</v>
      </c>
      <c r="D21" s="19" t="n">
        <f aca="false">COUNTIFS('🔧 Kerusakan'!E:E,B21,'🔧 Kerusakan'!H:H,"RUSAK")</f>
        <v>0</v>
      </c>
      <c r="E21" s="19" t="n">
        <f aca="false">COUNTIFS('🔧 Kerusakan'!E:E,B21,'🔧 Kerusakan'!H:H,"HILANG")</f>
        <v>0</v>
      </c>
      <c r="F21" s="19" t="n">
        <f aca="false">COUNTIFS('🔧 Kerusakan'!E:E,B21,'🔧 Kerusakan'!H:H,"DIPINJAM")</f>
        <v>0</v>
      </c>
      <c r="G21" s="19" t="n">
        <f aca="false">COUNTIF('🔄 Pengembalian'!G:G,B21)</f>
        <v>0</v>
      </c>
      <c r="H21" s="19" t="n">
        <f aca="false">D21+E21+F21+G21</f>
        <v>0</v>
      </c>
      <c r="I21" s="21" t="n">
        <f aca="false">IFERROR((D21+E21)/MAX(H21,1),0)</f>
        <v>0</v>
      </c>
      <c r="J21" s="19" t="str">
        <f aca="false">IF(D21+E21=0,"✅ Normal",IF(D21+E21&lt;=2,"⚠️ Perhatian","🚨 Kritis"))</f>
        <v>✅ Normal</v>
      </c>
      <c r="K21" s="22" t="s">
        <v>20</v>
      </c>
    </row>
    <row r="22" customFormat="false" ht="21.75" hidden="false" customHeight="true" outlineLevel="0" collapsed="false">
      <c r="A22" s="23"/>
      <c r="B22" s="23" t="s">
        <v>30</v>
      </c>
      <c r="C22" s="23" t="n">
        <f aca="false">SUM(C12:C21)</f>
        <v>321</v>
      </c>
      <c r="D22" s="23" t="n">
        <f aca="false">SUM(D12:D21)</f>
        <v>0</v>
      </c>
      <c r="E22" s="23" t="n">
        <f aca="false">SUM(E12:E21)</f>
        <v>0</v>
      </c>
      <c r="F22" s="23" t="n">
        <f aca="false">SUM(F12:F21)</f>
        <v>0</v>
      </c>
      <c r="G22" s="23" t="n">
        <f aca="false">SUM(G12:G21)</f>
        <v>2</v>
      </c>
      <c r="H22" s="23" t="n">
        <f aca="false">SUM(H12:H21)</f>
        <v>2</v>
      </c>
      <c r="I22" s="24" t="n">
        <f aca="false">IFERROR((D22+E22)/MAX(H22,1),0)</f>
        <v>0</v>
      </c>
      <c r="J22" s="23"/>
      <c r="K22" s="23"/>
    </row>
  </sheetData>
  <mergeCells count="13">
    <mergeCell ref="A1:N1"/>
    <mergeCell ref="A2:N2"/>
    <mergeCell ref="A4:C5"/>
    <mergeCell ref="D4:F5"/>
    <mergeCell ref="G4:I5"/>
    <mergeCell ref="J4:L5"/>
    <mergeCell ref="M4:N5"/>
    <mergeCell ref="A6:C8"/>
    <mergeCell ref="D6:F8"/>
    <mergeCell ref="G6:I8"/>
    <mergeCell ref="J6:L8"/>
    <mergeCell ref="M6:N8"/>
    <mergeCell ref="A10:N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3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35"/>
    <col collapsed="false" customWidth="true" hidden="false" outlineLevel="0" max="5" min="5" style="0" width="25"/>
    <col collapsed="false" customWidth="true" hidden="false" outlineLevel="0" max="6" min="6" style="0" width="8"/>
    <col collapsed="false" customWidth="true" hidden="false" outlineLevel="0" max="7" min="7" style="0" width="9"/>
    <col collapsed="false" customWidth="true" hidden="false" outlineLevel="0" max="8" min="8" style="0" width="12"/>
    <col collapsed="false" customWidth="true" hidden="false" outlineLevel="0" max="9" min="9" style="0" width="16"/>
    <col collapsed="false" customWidth="true" hidden="false" outlineLevel="0" max="10" min="10" style="0" width="14"/>
    <col collapsed="false" customWidth="true" hidden="false" outlineLevel="0" max="11" min="11" style="0" width="20"/>
    <col collapsed="false" customWidth="true" hidden="false" outlineLevel="0" max="12" min="12" style="0" width="18"/>
  </cols>
  <sheetData>
    <row r="1" customFormat="false" ht="49.5" hidden="false" customHeight="true" outlineLevel="0" collapsed="false">
      <c r="A1" s="25" t="s">
        <v>31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</row>
    <row r="2" customFormat="false" ht="21.75" hidden="false" customHeight="true" outlineLevel="0" collapsed="false">
      <c r="A2" s="26" t="s">
        <v>32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</row>
    <row r="3" customFormat="false" ht="12" hidden="false" customHeight="true" outlineLevel="0" collapsed="false"/>
    <row r="4" customFormat="false" ht="30" hidden="false" customHeight="true" outlineLevel="0" collapsed="false">
      <c r="A4" s="27" t="s">
        <v>8</v>
      </c>
      <c r="B4" s="27" t="s">
        <v>9</v>
      </c>
      <c r="C4" s="27" t="s">
        <v>33</v>
      </c>
      <c r="D4" s="27" t="s">
        <v>34</v>
      </c>
      <c r="E4" s="27" t="s">
        <v>35</v>
      </c>
      <c r="F4" s="27" t="s">
        <v>36</v>
      </c>
      <c r="G4" s="27" t="s">
        <v>37</v>
      </c>
      <c r="H4" s="27" t="s">
        <v>38</v>
      </c>
      <c r="I4" s="27" t="s">
        <v>39</v>
      </c>
      <c r="J4" s="27" t="s">
        <v>40</v>
      </c>
      <c r="K4" s="27" t="s">
        <v>18</v>
      </c>
      <c r="L4" s="27" t="s">
        <v>41</v>
      </c>
    </row>
    <row r="5" customFormat="false" ht="21.75" hidden="false" customHeight="true" outlineLevel="0" collapsed="false">
      <c r="A5" s="28" t="s">
        <v>42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</row>
    <row r="6" customFormat="false" ht="18" hidden="false" customHeight="true" outlineLevel="0" collapsed="false">
      <c r="A6" s="29" t="n">
        <v>1</v>
      </c>
      <c r="B6" s="30" t="s">
        <v>19</v>
      </c>
      <c r="C6" s="29" t="s">
        <v>43</v>
      </c>
      <c r="D6" s="31" t="s">
        <v>44</v>
      </c>
      <c r="E6" s="31" t="s">
        <v>45</v>
      </c>
      <c r="F6" s="32"/>
      <c r="G6" s="29" t="s">
        <v>46</v>
      </c>
      <c r="H6" s="33"/>
      <c r="I6" s="29" t="s">
        <v>47</v>
      </c>
      <c r="J6" s="29" t="s">
        <v>48</v>
      </c>
      <c r="K6" s="31"/>
      <c r="L6" s="29" t="s">
        <v>49</v>
      </c>
    </row>
    <row r="7" customFormat="false" ht="18" hidden="false" customHeight="true" outlineLevel="0" collapsed="false">
      <c r="A7" s="34" t="n">
        <v>2</v>
      </c>
      <c r="B7" s="35" t="s">
        <v>19</v>
      </c>
      <c r="C7" s="34" t="s">
        <v>43</v>
      </c>
      <c r="D7" s="36" t="s">
        <v>50</v>
      </c>
      <c r="E7" s="36" t="s">
        <v>51</v>
      </c>
      <c r="F7" s="37"/>
      <c r="G7" s="34" t="s">
        <v>46</v>
      </c>
      <c r="H7" s="38"/>
      <c r="I7" s="34" t="s">
        <v>47</v>
      </c>
      <c r="J7" s="34" t="s">
        <v>48</v>
      </c>
      <c r="K7" s="36"/>
      <c r="L7" s="34" t="s">
        <v>52</v>
      </c>
    </row>
    <row r="8" customFormat="false" ht="18" hidden="false" customHeight="true" outlineLevel="0" collapsed="false">
      <c r="A8" s="29" t="n">
        <v>3</v>
      </c>
      <c r="B8" s="30" t="s">
        <v>19</v>
      </c>
      <c r="C8" s="29" t="s">
        <v>43</v>
      </c>
      <c r="D8" s="31" t="s">
        <v>53</v>
      </c>
      <c r="E8" s="31" t="s">
        <v>51</v>
      </c>
      <c r="F8" s="32"/>
      <c r="G8" s="29" t="s">
        <v>46</v>
      </c>
      <c r="H8" s="33"/>
      <c r="I8" s="29" t="s">
        <v>47</v>
      </c>
      <c r="J8" s="29" t="s">
        <v>48</v>
      </c>
      <c r="K8" s="31"/>
      <c r="L8" s="29" t="s">
        <v>54</v>
      </c>
    </row>
    <row r="9" customFormat="false" ht="18" hidden="false" customHeight="true" outlineLevel="0" collapsed="false">
      <c r="A9" s="34" t="n">
        <v>4</v>
      </c>
      <c r="B9" s="35" t="s">
        <v>19</v>
      </c>
      <c r="C9" s="34" t="s">
        <v>43</v>
      </c>
      <c r="D9" s="36" t="s">
        <v>55</v>
      </c>
      <c r="E9" s="36" t="s">
        <v>56</v>
      </c>
      <c r="F9" s="37"/>
      <c r="G9" s="34" t="s">
        <v>46</v>
      </c>
      <c r="H9" s="38"/>
      <c r="I9" s="34" t="s">
        <v>47</v>
      </c>
      <c r="J9" s="34" t="s">
        <v>48</v>
      </c>
      <c r="K9" s="36"/>
      <c r="L9" s="34" t="s">
        <v>57</v>
      </c>
    </row>
    <row r="10" customFormat="false" ht="18" hidden="false" customHeight="true" outlineLevel="0" collapsed="false">
      <c r="A10" s="29" t="n">
        <v>5</v>
      </c>
      <c r="B10" s="30" t="s">
        <v>19</v>
      </c>
      <c r="C10" s="29" t="s">
        <v>43</v>
      </c>
      <c r="D10" s="31" t="s">
        <v>58</v>
      </c>
      <c r="E10" s="31" t="s">
        <v>59</v>
      </c>
      <c r="F10" s="32"/>
      <c r="G10" s="29" t="s">
        <v>46</v>
      </c>
      <c r="H10" s="33"/>
      <c r="I10" s="29" t="s">
        <v>47</v>
      </c>
      <c r="J10" s="29" t="s">
        <v>48</v>
      </c>
      <c r="K10" s="31"/>
      <c r="L10" s="29" t="s">
        <v>60</v>
      </c>
    </row>
    <row r="11" customFormat="false" ht="18" hidden="false" customHeight="true" outlineLevel="0" collapsed="false">
      <c r="A11" s="34" t="n">
        <v>6</v>
      </c>
      <c r="B11" s="35" t="s">
        <v>19</v>
      </c>
      <c r="C11" s="34" t="s">
        <v>43</v>
      </c>
      <c r="D11" s="36" t="s">
        <v>61</v>
      </c>
      <c r="E11" s="36" t="s">
        <v>59</v>
      </c>
      <c r="F11" s="37"/>
      <c r="G11" s="34" t="s">
        <v>46</v>
      </c>
      <c r="H11" s="38"/>
      <c r="I11" s="34" t="s">
        <v>47</v>
      </c>
      <c r="J11" s="34" t="s">
        <v>48</v>
      </c>
      <c r="K11" s="36"/>
      <c r="L11" s="34" t="s">
        <v>62</v>
      </c>
    </row>
    <row r="12" customFormat="false" ht="18" hidden="false" customHeight="true" outlineLevel="0" collapsed="false">
      <c r="A12" s="29" t="n">
        <v>7</v>
      </c>
      <c r="B12" s="30" t="s">
        <v>19</v>
      </c>
      <c r="C12" s="29" t="s">
        <v>43</v>
      </c>
      <c r="D12" s="31" t="s">
        <v>63</v>
      </c>
      <c r="E12" s="31" t="s">
        <v>64</v>
      </c>
      <c r="F12" s="32"/>
      <c r="G12" s="29" t="s">
        <v>46</v>
      </c>
      <c r="H12" s="33"/>
      <c r="I12" s="29" t="s">
        <v>47</v>
      </c>
      <c r="J12" s="29" t="s">
        <v>48</v>
      </c>
      <c r="K12" s="31"/>
      <c r="L12" s="29" t="s">
        <v>65</v>
      </c>
    </row>
    <row r="13" customFormat="false" ht="18" hidden="false" customHeight="true" outlineLevel="0" collapsed="false">
      <c r="A13" s="34" t="n">
        <v>8</v>
      </c>
      <c r="B13" s="35" t="s">
        <v>19</v>
      </c>
      <c r="C13" s="34" t="s">
        <v>43</v>
      </c>
      <c r="D13" s="36" t="s">
        <v>66</v>
      </c>
      <c r="E13" s="36" t="s">
        <v>64</v>
      </c>
      <c r="F13" s="37"/>
      <c r="G13" s="34" t="s">
        <v>46</v>
      </c>
      <c r="H13" s="38"/>
      <c r="I13" s="34" t="s">
        <v>47</v>
      </c>
      <c r="J13" s="34" t="s">
        <v>48</v>
      </c>
      <c r="K13" s="36"/>
      <c r="L13" s="34" t="s">
        <v>67</v>
      </c>
    </row>
    <row r="14" customFormat="false" ht="18" hidden="false" customHeight="true" outlineLevel="0" collapsed="false">
      <c r="A14" s="29" t="n">
        <v>9</v>
      </c>
      <c r="B14" s="30" t="s">
        <v>19</v>
      </c>
      <c r="C14" s="29" t="s">
        <v>43</v>
      </c>
      <c r="D14" s="31" t="s">
        <v>68</v>
      </c>
      <c r="E14" s="31" t="s">
        <v>69</v>
      </c>
      <c r="F14" s="32"/>
      <c r="G14" s="29" t="s">
        <v>46</v>
      </c>
      <c r="H14" s="33"/>
      <c r="I14" s="29" t="s">
        <v>47</v>
      </c>
      <c r="J14" s="29" t="s">
        <v>48</v>
      </c>
      <c r="K14" s="31"/>
      <c r="L14" s="29" t="s">
        <v>70</v>
      </c>
    </row>
    <row r="15" customFormat="false" ht="18" hidden="false" customHeight="true" outlineLevel="0" collapsed="false">
      <c r="A15" s="34" t="n">
        <v>10</v>
      </c>
      <c r="B15" s="35" t="s">
        <v>19</v>
      </c>
      <c r="C15" s="34" t="s">
        <v>43</v>
      </c>
      <c r="D15" s="36" t="s">
        <v>71</v>
      </c>
      <c r="E15" s="36" t="s">
        <v>72</v>
      </c>
      <c r="F15" s="37"/>
      <c r="G15" s="34" t="s">
        <v>46</v>
      </c>
      <c r="H15" s="38"/>
      <c r="I15" s="34" t="s">
        <v>47</v>
      </c>
      <c r="J15" s="34" t="s">
        <v>48</v>
      </c>
      <c r="K15" s="36"/>
      <c r="L15" s="34" t="s">
        <v>73</v>
      </c>
    </row>
    <row r="16" customFormat="false" ht="18" hidden="false" customHeight="true" outlineLevel="0" collapsed="false">
      <c r="A16" s="29" t="n">
        <v>11</v>
      </c>
      <c r="B16" s="30" t="s">
        <v>19</v>
      </c>
      <c r="C16" s="29" t="s">
        <v>43</v>
      </c>
      <c r="D16" s="31" t="s">
        <v>74</v>
      </c>
      <c r="E16" s="31" t="s">
        <v>75</v>
      </c>
      <c r="F16" s="32"/>
      <c r="G16" s="29" t="s">
        <v>46</v>
      </c>
      <c r="H16" s="33"/>
      <c r="I16" s="29" t="s">
        <v>47</v>
      </c>
      <c r="J16" s="29" t="s">
        <v>48</v>
      </c>
      <c r="K16" s="31"/>
      <c r="L16" s="29" t="s">
        <v>76</v>
      </c>
    </row>
    <row r="17" customFormat="false" ht="18" hidden="false" customHeight="true" outlineLevel="0" collapsed="false">
      <c r="A17" s="34" t="n">
        <v>12</v>
      </c>
      <c r="B17" s="35" t="s">
        <v>19</v>
      </c>
      <c r="C17" s="34" t="s">
        <v>43</v>
      </c>
      <c r="D17" s="36" t="s">
        <v>77</v>
      </c>
      <c r="E17" s="36" t="s">
        <v>78</v>
      </c>
      <c r="F17" s="37"/>
      <c r="G17" s="34" t="s">
        <v>46</v>
      </c>
      <c r="H17" s="38"/>
      <c r="I17" s="34" t="s">
        <v>47</v>
      </c>
      <c r="J17" s="34" t="s">
        <v>48</v>
      </c>
      <c r="K17" s="36"/>
      <c r="L17" s="34" t="s">
        <v>79</v>
      </c>
    </row>
    <row r="18" customFormat="false" ht="18" hidden="false" customHeight="true" outlineLevel="0" collapsed="false">
      <c r="A18" s="29" t="n">
        <v>13</v>
      </c>
      <c r="B18" s="30" t="s">
        <v>19</v>
      </c>
      <c r="C18" s="29" t="s">
        <v>43</v>
      </c>
      <c r="D18" s="31" t="s">
        <v>80</v>
      </c>
      <c r="E18" s="31" t="s">
        <v>81</v>
      </c>
      <c r="F18" s="32"/>
      <c r="G18" s="29" t="s">
        <v>46</v>
      </c>
      <c r="H18" s="33"/>
      <c r="I18" s="29" t="s">
        <v>47</v>
      </c>
      <c r="J18" s="29" t="s">
        <v>48</v>
      </c>
      <c r="K18" s="31"/>
      <c r="L18" s="29" t="s">
        <v>82</v>
      </c>
    </row>
    <row r="19" customFormat="false" ht="18" hidden="false" customHeight="true" outlineLevel="0" collapsed="false">
      <c r="A19" s="34" t="n">
        <v>14</v>
      </c>
      <c r="B19" s="35" t="s">
        <v>19</v>
      </c>
      <c r="C19" s="34" t="s">
        <v>43</v>
      </c>
      <c r="D19" s="36" t="s">
        <v>83</v>
      </c>
      <c r="E19" s="36" t="s">
        <v>84</v>
      </c>
      <c r="F19" s="37"/>
      <c r="G19" s="34" t="s">
        <v>46</v>
      </c>
      <c r="H19" s="38"/>
      <c r="I19" s="34" t="s">
        <v>47</v>
      </c>
      <c r="J19" s="34" t="s">
        <v>48</v>
      </c>
      <c r="K19" s="36"/>
      <c r="L19" s="34" t="s">
        <v>85</v>
      </c>
    </row>
    <row r="20" customFormat="false" ht="18" hidden="false" customHeight="true" outlineLevel="0" collapsed="false">
      <c r="A20" s="29" t="n">
        <v>15</v>
      </c>
      <c r="B20" s="30" t="s">
        <v>19</v>
      </c>
      <c r="C20" s="29" t="s">
        <v>43</v>
      </c>
      <c r="D20" s="31" t="s">
        <v>86</v>
      </c>
      <c r="E20" s="31" t="s">
        <v>87</v>
      </c>
      <c r="F20" s="32"/>
      <c r="G20" s="29" t="s">
        <v>46</v>
      </c>
      <c r="H20" s="33"/>
      <c r="I20" s="29" t="s">
        <v>47</v>
      </c>
      <c r="J20" s="29" t="s">
        <v>48</v>
      </c>
      <c r="K20" s="31"/>
      <c r="L20" s="29" t="s">
        <v>88</v>
      </c>
    </row>
    <row r="21" customFormat="false" ht="18" hidden="false" customHeight="true" outlineLevel="0" collapsed="false">
      <c r="A21" s="34" t="n">
        <v>16</v>
      </c>
      <c r="B21" s="35" t="s">
        <v>19</v>
      </c>
      <c r="C21" s="34" t="s">
        <v>43</v>
      </c>
      <c r="D21" s="36" t="s">
        <v>89</v>
      </c>
      <c r="E21" s="36" t="s">
        <v>90</v>
      </c>
      <c r="F21" s="37"/>
      <c r="G21" s="34" t="s">
        <v>46</v>
      </c>
      <c r="H21" s="38"/>
      <c r="I21" s="34" t="s">
        <v>47</v>
      </c>
      <c r="J21" s="34" t="s">
        <v>48</v>
      </c>
      <c r="K21" s="36"/>
      <c r="L21" s="34" t="s">
        <v>91</v>
      </c>
    </row>
    <row r="22" customFormat="false" ht="18" hidden="false" customHeight="true" outlineLevel="0" collapsed="false">
      <c r="A22" s="29" t="n">
        <v>17</v>
      </c>
      <c r="B22" s="30" t="s">
        <v>19</v>
      </c>
      <c r="C22" s="29" t="s">
        <v>43</v>
      </c>
      <c r="D22" s="31" t="s">
        <v>92</v>
      </c>
      <c r="E22" s="31" t="s">
        <v>93</v>
      </c>
      <c r="F22" s="32"/>
      <c r="G22" s="29" t="s">
        <v>46</v>
      </c>
      <c r="H22" s="33"/>
      <c r="I22" s="29" t="s">
        <v>47</v>
      </c>
      <c r="J22" s="29" t="s">
        <v>48</v>
      </c>
      <c r="K22" s="31"/>
      <c r="L22" s="29" t="s">
        <v>94</v>
      </c>
    </row>
    <row r="23" customFormat="false" ht="18" hidden="false" customHeight="true" outlineLevel="0" collapsed="false">
      <c r="A23" s="34" t="n">
        <v>18</v>
      </c>
      <c r="B23" s="35" t="s">
        <v>19</v>
      </c>
      <c r="C23" s="34" t="s">
        <v>43</v>
      </c>
      <c r="D23" s="36" t="s">
        <v>95</v>
      </c>
      <c r="E23" s="36" t="s">
        <v>96</v>
      </c>
      <c r="F23" s="37"/>
      <c r="G23" s="34" t="s">
        <v>46</v>
      </c>
      <c r="H23" s="38"/>
      <c r="I23" s="34" t="s">
        <v>47</v>
      </c>
      <c r="J23" s="34" t="s">
        <v>48</v>
      </c>
      <c r="K23" s="36"/>
      <c r="L23" s="34" t="s">
        <v>97</v>
      </c>
    </row>
    <row r="24" customFormat="false" ht="18" hidden="false" customHeight="true" outlineLevel="0" collapsed="false">
      <c r="A24" s="29" t="n">
        <v>19</v>
      </c>
      <c r="B24" s="30" t="s">
        <v>19</v>
      </c>
      <c r="C24" s="29" t="s">
        <v>43</v>
      </c>
      <c r="D24" s="31" t="s">
        <v>98</v>
      </c>
      <c r="E24" s="31" t="s">
        <v>69</v>
      </c>
      <c r="F24" s="32"/>
      <c r="G24" s="29" t="s">
        <v>46</v>
      </c>
      <c r="H24" s="33"/>
      <c r="I24" s="29" t="s">
        <v>47</v>
      </c>
      <c r="J24" s="29" t="s">
        <v>48</v>
      </c>
      <c r="K24" s="31"/>
      <c r="L24" s="29" t="s">
        <v>99</v>
      </c>
    </row>
    <row r="25" customFormat="false" ht="18" hidden="false" customHeight="true" outlineLevel="0" collapsed="false">
      <c r="A25" s="34" t="n">
        <v>20</v>
      </c>
      <c r="B25" s="35" t="s">
        <v>19</v>
      </c>
      <c r="C25" s="34" t="s">
        <v>43</v>
      </c>
      <c r="D25" s="36" t="s">
        <v>100</v>
      </c>
      <c r="E25" s="36" t="s">
        <v>101</v>
      </c>
      <c r="F25" s="37"/>
      <c r="G25" s="34" t="s">
        <v>46</v>
      </c>
      <c r="H25" s="38"/>
      <c r="I25" s="34" t="s">
        <v>47</v>
      </c>
      <c r="J25" s="34" t="s">
        <v>48</v>
      </c>
      <c r="K25" s="36"/>
      <c r="L25" s="34" t="s">
        <v>102</v>
      </c>
    </row>
    <row r="26" customFormat="false" ht="18" hidden="false" customHeight="true" outlineLevel="0" collapsed="false">
      <c r="A26" s="29" t="n">
        <v>21</v>
      </c>
      <c r="B26" s="30" t="s">
        <v>19</v>
      </c>
      <c r="C26" s="29" t="s">
        <v>43</v>
      </c>
      <c r="D26" s="31" t="s">
        <v>103</v>
      </c>
      <c r="E26" s="31" t="s">
        <v>84</v>
      </c>
      <c r="F26" s="32"/>
      <c r="G26" s="29" t="s">
        <v>46</v>
      </c>
      <c r="H26" s="33"/>
      <c r="I26" s="29" t="s">
        <v>47</v>
      </c>
      <c r="J26" s="29" t="s">
        <v>48</v>
      </c>
      <c r="K26" s="31"/>
      <c r="L26" s="29" t="s">
        <v>104</v>
      </c>
    </row>
    <row r="27" customFormat="false" ht="18" hidden="false" customHeight="true" outlineLevel="0" collapsed="false">
      <c r="A27" s="34" t="n">
        <v>22</v>
      </c>
      <c r="B27" s="35" t="s">
        <v>19</v>
      </c>
      <c r="C27" s="34" t="s">
        <v>43</v>
      </c>
      <c r="D27" s="36" t="s">
        <v>105</v>
      </c>
      <c r="E27" s="36" t="s">
        <v>106</v>
      </c>
      <c r="F27" s="37"/>
      <c r="G27" s="34" t="s">
        <v>46</v>
      </c>
      <c r="H27" s="38"/>
      <c r="I27" s="34" t="s">
        <v>47</v>
      </c>
      <c r="J27" s="34" t="s">
        <v>48</v>
      </c>
      <c r="K27" s="36"/>
      <c r="L27" s="34" t="s">
        <v>107</v>
      </c>
    </row>
    <row r="28" customFormat="false" ht="18" hidden="false" customHeight="true" outlineLevel="0" collapsed="false">
      <c r="A28" s="29" t="n">
        <v>23</v>
      </c>
      <c r="B28" s="30" t="s">
        <v>19</v>
      </c>
      <c r="C28" s="29" t="s">
        <v>43</v>
      </c>
      <c r="D28" s="31" t="s">
        <v>108</v>
      </c>
      <c r="E28" s="31" t="s">
        <v>109</v>
      </c>
      <c r="F28" s="32"/>
      <c r="G28" s="29" t="s">
        <v>46</v>
      </c>
      <c r="H28" s="33"/>
      <c r="I28" s="29" t="s">
        <v>47</v>
      </c>
      <c r="J28" s="29" t="s">
        <v>48</v>
      </c>
      <c r="K28" s="31"/>
      <c r="L28" s="29" t="s">
        <v>110</v>
      </c>
    </row>
    <row r="29" customFormat="false" ht="18" hidden="false" customHeight="true" outlineLevel="0" collapsed="false">
      <c r="A29" s="34" t="n">
        <v>24</v>
      </c>
      <c r="B29" s="35" t="s">
        <v>19</v>
      </c>
      <c r="C29" s="34" t="s">
        <v>43</v>
      </c>
      <c r="D29" s="36" t="s">
        <v>111</v>
      </c>
      <c r="E29" s="36" t="s">
        <v>96</v>
      </c>
      <c r="F29" s="37"/>
      <c r="G29" s="34" t="s">
        <v>46</v>
      </c>
      <c r="H29" s="38"/>
      <c r="I29" s="34" t="s">
        <v>47</v>
      </c>
      <c r="J29" s="34" t="s">
        <v>48</v>
      </c>
      <c r="K29" s="36"/>
      <c r="L29" s="34" t="s">
        <v>112</v>
      </c>
    </row>
    <row r="30" customFormat="false" ht="18" hidden="false" customHeight="true" outlineLevel="0" collapsed="false">
      <c r="A30" s="29" t="n">
        <v>25</v>
      </c>
      <c r="B30" s="30" t="s">
        <v>19</v>
      </c>
      <c r="C30" s="29" t="s">
        <v>43</v>
      </c>
      <c r="D30" s="31" t="s">
        <v>113</v>
      </c>
      <c r="E30" s="31" t="s">
        <v>96</v>
      </c>
      <c r="F30" s="32"/>
      <c r="G30" s="29" t="s">
        <v>46</v>
      </c>
      <c r="H30" s="33"/>
      <c r="I30" s="29" t="s">
        <v>47</v>
      </c>
      <c r="J30" s="29" t="s">
        <v>48</v>
      </c>
      <c r="K30" s="31"/>
      <c r="L30" s="29" t="s">
        <v>114</v>
      </c>
    </row>
    <row r="31" customFormat="false" ht="18" hidden="false" customHeight="true" outlineLevel="0" collapsed="false">
      <c r="A31" s="34" t="n">
        <v>26</v>
      </c>
      <c r="B31" s="35" t="s">
        <v>19</v>
      </c>
      <c r="C31" s="34" t="s">
        <v>43</v>
      </c>
      <c r="D31" s="36" t="s">
        <v>115</v>
      </c>
      <c r="E31" s="36" t="s">
        <v>96</v>
      </c>
      <c r="F31" s="37"/>
      <c r="G31" s="34" t="s">
        <v>46</v>
      </c>
      <c r="H31" s="38"/>
      <c r="I31" s="34" t="s">
        <v>47</v>
      </c>
      <c r="J31" s="34" t="s">
        <v>48</v>
      </c>
      <c r="K31" s="36"/>
      <c r="L31" s="34" t="s">
        <v>116</v>
      </c>
    </row>
    <row r="32" customFormat="false" ht="18" hidden="false" customHeight="true" outlineLevel="0" collapsed="false">
      <c r="A32" s="29" t="n">
        <v>27</v>
      </c>
      <c r="B32" s="30" t="s">
        <v>19</v>
      </c>
      <c r="C32" s="29" t="s">
        <v>43</v>
      </c>
      <c r="D32" s="31" t="s">
        <v>117</v>
      </c>
      <c r="E32" s="31" t="s">
        <v>118</v>
      </c>
      <c r="F32" s="32"/>
      <c r="G32" s="29" t="s">
        <v>46</v>
      </c>
      <c r="H32" s="33"/>
      <c r="I32" s="29" t="s">
        <v>47</v>
      </c>
      <c r="J32" s="29" t="s">
        <v>48</v>
      </c>
      <c r="K32" s="31"/>
      <c r="L32" s="29" t="s">
        <v>119</v>
      </c>
    </row>
    <row r="33" customFormat="false" ht="18" hidden="false" customHeight="true" outlineLevel="0" collapsed="false">
      <c r="A33" s="34" t="n">
        <v>28</v>
      </c>
      <c r="B33" s="35" t="s">
        <v>19</v>
      </c>
      <c r="C33" s="34" t="s">
        <v>43</v>
      </c>
      <c r="D33" s="36" t="s">
        <v>120</v>
      </c>
      <c r="E33" s="36" t="s">
        <v>106</v>
      </c>
      <c r="F33" s="37"/>
      <c r="G33" s="34" t="s">
        <v>46</v>
      </c>
      <c r="H33" s="38"/>
      <c r="I33" s="34" t="s">
        <v>47</v>
      </c>
      <c r="J33" s="34" t="s">
        <v>48</v>
      </c>
      <c r="K33" s="36"/>
      <c r="L33" s="34" t="s">
        <v>121</v>
      </c>
    </row>
    <row r="34" customFormat="false" ht="18" hidden="false" customHeight="true" outlineLevel="0" collapsed="false">
      <c r="A34" s="29" t="n">
        <v>29</v>
      </c>
      <c r="B34" s="30" t="s">
        <v>19</v>
      </c>
      <c r="C34" s="29" t="s">
        <v>43</v>
      </c>
      <c r="D34" s="31" t="s">
        <v>122</v>
      </c>
      <c r="E34" s="31" t="s">
        <v>51</v>
      </c>
      <c r="F34" s="32"/>
      <c r="G34" s="29" t="s">
        <v>46</v>
      </c>
      <c r="H34" s="33"/>
      <c r="I34" s="29" t="s">
        <v>47</v>
      </c>
      <c r="J34" s="29" t="s">
        <v>48</v>
      </c>
      <c r="K34" s="31"/>
      <c r="L34" s="29" t="s">
        <v>123</v>
      </c>
    </row>
    <row r="35" customFormat="false" ht="18" hidden="false" customHeight="true" outlineLevel="0" collapsed="false">
      <c r="A35" s="34" t="n">
        <v>30</v>
      </c>
      <c r="B35" s="35" t="s">
        <v>19</v>
      </c>
      <c r="C35" s="34" t="s">
        <v>43</v>
      </c>
      <c r="D35" s="36" t="s">
        <v>124</v>
      </c>
      <c r="E35" s="36" t="s">
        <v>96</v>
      </c>
      <c r="F35" s="37"/>
      <c r="G35" s="34" t="s">
        <v>46</v>
      </c>
      <c r="H35" s="38"/>
      <c r="I35" s="34" t="s">
        <v>47</v>
      </c>
      <c r="J35" s="34" t="s">
        <v>48</v>
      </c>
      <c r="K35" s="36"/>
      <c r="L35" s="34" t="s">
        <v>125</v>
      </c>
    </row>
    <row r="36" customFormat="false" ht="21.75" hidden="false" customHeight="true" outlineLevel="0" collapsed="false">
      <c r="A36" s="39" t="s">
        <v>126</v>
      </c>
      <c r="B36" s="39"/>
      <c r="C36" s="39"/>
      <c r="D36" s="39"/>
      <c r="E36" s="39"/>
      <c r="F36" s="39"/>
      <c r="G36" s="39"/>
      <c r="H36" s="39"/>
      <c r="I36" s="39"/>
      <c r="J36" s="39"/>
      <c r="K36" s="39"/>
      <c r="L36" s="39"/>
    </row>
    <row r="37" customFormat="false" ht="18" hidden="false" customHeight="true" outlineLevel="0" collapsed="false">
      <c r="A37" s="40" t="n">
        <v>1</v>
      </c>
      <c r="B37" s="41" t="s">
        <v>21</v>
      </c>
      <c r="C37" s="40" t="s">
        <v>127</v>
      </c>
      <c r="D37" s="42" t="s">
        <v>128</v>
      </c>
      <c r="E37" s="42" t="s">
        <v>51</v>
      </c>
      <c r="F37" s="43"/>
      <c r="G37" s="40" t="s">
        <v>46</v>
      </c>
      <c r="H37" s="44"/>
      <c r="I37" s="40" t="s">
        <v>47</v>
      </c>
      <c r="J37" s="40" t="s">
        <v>48</v>
      </c>
      <c r="K37" s="42"/>
      <c r="L37" s="40" t="s">
        <v>129</v>
      </c>
    </row>
    <row r="38" customFormat="false" ht="18" hidden="false" customHeight="true" outlineLevel="0" collapsed="false">
      <c r="A38" s="34" t="n">
        <v>2</v>
      </c>
      <c r="B38" s="35" t="s">
        <v>21</v>
      </c>
      <c r="C38" s="34" t="s">
        <v>127</v>
      </c>
      <c r="D38" s="36" t="s">
        <v>130</v>
      </c>
      <c r="E38" s="36" t="s">
        <v>131</v>
      </c>
      <c r="F38" s="37"/>
      <c r="G38" s="34" t="s">
        <v>46</v>
      </c>
      <c r="H38" s="38"/>
      <c r="I38" s="34" t="s">
        <v>47</v>
      </c>
      <c r="J38" s="34" t="s">
        <v>48</v>
      </c>
      <c r="K38" s="36"/>
      <c r="L38" s="34" t="s">
        <v>132</v>
      </c>
    </row>
    <row r="39" customFormat="false" ht="18" hidden="false" customHeight="true" outlineLevel="0" collapsed="false">
      <c r="A39" s="40" t="n">
        <v>3</v>
      </c>
      <c r="B39" s="41" t="s">
        <v>21</v>
      </c>
      <c r="C39" s="40" t="s">
        <v>127</v>
      </c>
      <c r="D39" s="42" t="s">
        <v>80</v>
      </c>
      <c r="E39" s="42" t="s">
        <v>133</v>
      </c>
      <c r="F39" s="43"/>
      <c r="G39" s="40" t="s">
        <v>46</v>
      </c>
      <c r="H39" s="44"/>
      <c r="I39" s="40" t="s">
        <v>47</v>
      </c>
      <c r="J39" s="40" t="s">
        <v>48</v>
      </c>
      <c r="K39" s="42"/>
      <c r="L39" s="40" t="s">
        <v>134</v>
      </c>
    </row>
    <row r="40" customFormat="false" ht="18" hidden="false" customHeight="true" outlineLevel="0" collapsed="false">
      <c r="A40" s="34" t="n">
        <v>4</v>
      </c>
      <c r="B40" s="35" t="s">
        <v>21</v>
      </c>
      <c r="C40" s="34" t="s">
        <v>127</v>
      </c>
      <c r="D40" s="36" t="s">
        <v>135</v>
      </c>
      <c r="E40" s="36" t="s">
        <v>64</v>
      </c>
      <c r="F40" s="37"/>
      <c r="G40" s="34" t="s">
        <v>46</v>
      </c>
      <c r="H40" s="38"/>
      <c r="I40" s="34" t="s">
        <v>47</v>
      </c>
      <c r="J40" s="34" t="s">
        <v>48</v>
      </c>
      <c r="K40" s="36"/>
      <c r="L40" s="34" t="s">
        <v>136</v>
      </c>
    </row>
    <row r="41" customFormat="false" ht="18" hidden="false" customHeight="true" outlineLevel="0" collapsed="false">
      <c r="A41" s="40" t="n">
        <v>5</v>
      </c>
      <c r="B41" s="41" t="s">
        <v>21</v>
      </c>
      <c r="C41" s="40" t="s">
        <v>127</v>
      </c>
      <c r="D41" s="42" t="s">
        <v>44</v>
      </c>
      <c r="E41" s="42" t="s">
        <v>137</v>
      </c>
      <c r="F41" s="43"/>
      <c r="G41" s="40" t="s">
        <v>46</v>
      </c>
      <c r="H41" s="44"/>
      <c r="I41" s="40" t="s">
        <v>47</v>
      </c>
      <c r="J41" s="40" t="s">
        <v>48</v>
      </c>
      <c r="K41" s="42"/>
      <c r="L41" s="40" t="s">
        <v>138</v>
      </c>
    </row>
    <row r="42" customFormat="false" ht="18" hidden="false" customHeight="true" outlineLevel="0" collapsed="false">
      <c r="A42" s="34" t="n">
        <v>6</v>
      </c>
      <c r="B42" s="35" t="s">
        <v>21</v>
      </c>
      <c r="C42" s="34" t="s">
        <v>127</v>
      </c>
      <c r="D42" s="36" t="s">
        <v>86</v>
      </c>
      <c r="E42" s="36" t="s">
        <v>64</v>
      </c>
      <c r="F42" s="37"/>
      <c r="G42" s="34" t="s">
        <v>46</v>
      </c>
      <c r="H42" s="38"/>
      <c r="I42" s="34" t="s">
        <v>47</v>
      </c>
      <c r="J42" s="34" t="s">
        <v>48</v>
      </c>
      <c r="K42" s="36"/>
      <c r="L42" s="34" t="s">
        <v>139</v>
      </c>
    </row>
    <row r="43" customFormat="false" ht="18" hidden="false" customHeight="true" outlineLevel="0" collapsed="false">
      <c r="A43" s="40" t="n">
        <v>7</v>
      </c>
      <c r="B43" s="41" t="s">
        <v>21</v>
      </c>
      <c r="C43" s="40" t="s">
        <v>127</v>
      </c>
      <c r="D43" s="42" t="s">
        <v>89</v>
      </c>
      <c r="E43" s="42" t="s">
        <v>56</v>
      </c>
      <c r="F43" s="43"/>
      <c r="G43" s="40" t="s">
        <v>46</v>
      </c>
      <c r="H43" s="44"/>
      <c r="I43" s="40" t="s">
        <v>47</v>
      </c>
      <c r="J43" s="40" t="s">
        <v>48</v>
      </c>
      <c r="K43" s="42"/>
      <c r="L43" s="40" t="s">
        <v>140</v>
      </c>
    </row>
    <row r="44" customFormat="false" ht="18" hidden="false" customHeight="true" outlineLevel="0" collapsed="false">
      <c r="A44" s="34" t="n">
        <v>8</v>
      </c>
      <c r="B44" s="35" t="s">
        <v>21</v>
      </c>
      <c r="C44" s="34" t="s">
        <v>127</v>
      </c>
      <c r="D44" s="36" t="s">
        <v>141</v>
      </c>
      <c r="E44" s="36" t="s">
        <v>142</v>
      </c>
      <c r="F44" s="37"/>
      <c r="G44" s="34" t="s">
        <v>46</v>
      </c>
      <c r="H44" s="38"/>
      <c r="I44" s="34" t="s">
        <v>47</v>
      </c>
      <c r="J44" s="34" t="s">
        <v>48</v>
      </c>
      <c r="K44" s="36"/>
      <c r="L44" s="34" t="s">
        <v>143</v>
      </c>
    </row>
    <row r="45" customFormat="false" ht="18" hidden="false" customHeight="true" outlineLevel="0" collapsed="false">
      <c r="A45" s="40" t="n">
        <v>9</v>
      </c>
      <c r="B45" s="41" t="s">
        <v>21</v>
      </c>
      <c r="C45" s="40" t="s">
        <v>127</v>
      </c>
      <c r="D45" s="42" t="s">
        <v>66</v>
      </c>
      <c r="E45" s="42" t="s">
        <v>87</v>
      </c>
      <c r="F45" s="43"/>
      <c r="G45" s="40" t="s">
        <v>46</v>
      </c>
      <c r="H45" s="44"/>
      <c r="I45" s="40" t="s">
        <v>47</v>
      </c>
      <c r="J45" s="40" t="s">
        <v>48</v>
      </c>
      <c r="K45" s="42"/>
      <c r="L45" s="40" t="s">
        <v>144</v>
      </c>
    </row>
    <row r="46" customFormat="false" ht="18" hidden="false" customHeight="true" outlineLevel="0" collapsed="false">
      <c r="A46" s="34" t="n">
        <v>10</v>
      </c>
      <c r="B46" s="35" t="s">
        <v>21</v>
      </c>
      <c r="C46" s="34" t="s">
        <v>127</v>
      </c>
      <c r="D46" s="36" t="s">
        <v>145</v>
      </c>
      <c r="E46" s="36" t="s">
        <v>146</v>
      </c>
      <c r="F46" s="37"/>
      <c r="G46" s="34" t="s">
        <v>46</v>
      </c>
      <c r="H46" s="38"/>
      <c r="I46" s="34" t="s">
        <v>47</v>
      </c>
      <c r="J46" s="34" t="s">
        <v>48</v>
      </c>
      <c r="K46" s="36"/>
      <c r="L46" s="34" t="s">
        <v>147</v>
      </c>
    </row>
    <row r="47" customFormat="false" ht="18" hidden="false" customHeight="true" outlineLevel="0" collapsed="false">
      <c r="A47" s="40" t="n">
        <v>11</v>
      </c>
      <c r="B47" s="41" t="s">
        <v>21</v>
      </c>
      <c r="C47" s="40" t="s">
        <v>127</v>
      </c>
      <c r="D47" s="42" t="s">
        <v>148</v>
      </c>
      <c r="E47" s="42" t="s">
        <v>72</v>
      </c>
      <c r="F47" s="43"/>
      <c r="G47" s="40" t="s">
        <v>46</v>
      </c>
      <c r="H47" s="44"/>
      <c r="I47" s="40" t="s">
        <v>47</v>
      </c>
      <c r="J47" s="40" t="s">
        <v>48</v>
      </c>
      <c r="K47" s="42"/>
      <c r="L47" s="40" t="s">
        <v>149</v>
      </c>
    </row>
    <row r="48" customFormat="false" ht="18" hidden="false" customHeight="true" outlineLevel="0" collapsed="false">
      <c r="A48" s="34" t="n">
        <v>12</v>
      </c>
      <c r="B48" s="35" t="s">
        <v>21</v>
      </c>
      <c r="C48" s="34" t="s">
        <v>127</v>
      </c>
      <c r="D48" s="36" t="s">
        <v>71</v>
      </c>
      <c r="E48" s="36" t="s">
        <v>75</v>
      </c>
      <c r="F48" s="37"/>
      <c r="G48" s="34" t="s">
        <v>46</v>
      </c>
      <c r="H48" s="38"/>
      <c r="I48" s="34" t="s">
        <v>47</v>
      </c>
      <c r="J48" s="34" t="s">
        <v>48</v>
      </c>
      <c r="K48" s="36"/>
      <c r="L48" s="34" t="s">
        <v>150</v>
      </c>
    </row>
    <row r="49" customFormat="false" ht="18" hidden="false" customHeight="true" outlineLevel="0" collapsed="false">
      <c r="A49" s="40" t="n">
        <v>13</v>
      </c>
      <c r="B49" s="41" t="s">
        <v>21</v>
      </c>
      <c r="C49" s="40" t="s">
        <v>127</v>
      </c>
      <c r="D49" s="42" t="s">
        <v>151</v>
      </c>
      <c r="E49" s="42" t="s">
        <v>152</v>
      </c>
      <c r="F49" s="43"/>
      <c r="G49" s="40" t="s">
        <v>46</v>
      </c>
      <c r="H49" s="44"/>
      <c r="I49" s="40" t="s">
        <v>47</v>
      </c>
      <c r="J49" s="40" t="s">
        <v>48</v>
      </c>
      <c r="K49" s="42"/>
      <c r="L49" s="40" t="s">
        <v>153</v>
      </c>
    </row>
    <row r="50" customFormat="false" ht="18" hidden="false" customHeight="true" outlineLevel="0" collapsed="false">
      <c r="A50" s="34" t="n">
        <v>14</v>
      </c>
      <c r="B50" s="35" t="s">
        <v>21</v>
      </c>
      <c r="C50" s="34" t="s">
        <v>127</v>
      </c>
      <c r="D50" s="36" t="s">
        <v>58</v>
      </c>
      <c r="E50" s="36" t="s">
        <v>154</v>
      </c>
      <c r="F50" s="37"/>
      <c r="G50" s="34" t="s">
        <v>46</v>
      </c>
      <c r="H50" s="38"/>
      <c r="I50" s="34" t="s">
        <v>47</v>
      </c>
      <c r="J50" s="34" t="s">
        <v>48</v>
      </c>
      <c r="K50" s="36"/>
      <c r="L50" s="34" t="s">
        <v>155</v>
      </c>
    </row>
    <row r="51" customFormat="false" ht="18" hidden="false" customHeight="true" outlineLevel="0" collapsed="false">
      <c r="A51" s="40" t="n">
        <v>15</v>
      </c>
      <c r="B51" s="41" t="s">
        <v>21</v>
      </c>
      <c r="C51" s="40" t="s">
        <v>127</v>
      </c>
      <c r="D51" s="42" t="s">
        <v>156</v>
      </c>
      <c r="E51" s="42" t="s">
        <v>157</v>
      </c>
      <c r="F51" s="43"/>
      <c r="G51" s="40" t="s">
        <v>46</v>
      </c>
      <c r="H51" s="44"/>
      <c r="I51" s="40" t="s">
        <v>47</v>
      </c>
      <c r="J51" s="40" t="s">
        <v>48</v>
      </c>
      <c r="K51" s="42"/>
      <c r="L51" s="40" t="s">
        <v>158</v>
      </c>
    </row>
    <row r="52" customFormat="false" ht="18" hidden="false" customHeight="true" outlineLevel="0" collapsed="false">
      <c r="A52" s="34" t="n">
        <v>16</v>
      </c>
      <c r="B52" s="35" t="s">
        <v>21</v>
      </c>
      <c r="C52" s="34" t="s">
        <v>127</v>
      </c>
      <c r="D52" s="36" t="s">
        <v>159</v>
      </c>
      <c r="E52" s="36" t="s">
        <v>160</v>
      </c>
      <c r="F52" s="37"/>
      <c r="G52" s="34" t="s">
        <v>46</v>
      </c>
      <c r="H52" s="38"/>
      <c r="I52" s="34" t="s">
        <v>47</v>
      </c>
      <c r="J52" s="34" t="s">
        <v>48</v>
      </c>
      <c r="K52" s="36"/>
      <c r="L52" s="34" t="s">
        <v>161</v>
      </c>
    </row>
    <row r="53" customFormat="false" ht="18" hidden="false" customHeight="true" outlineLevel="0" collapsed="false">
      <c r="A53" s="40" t="n">
        <v>17</v>
      </c>
      <c r="B53" s="41" t="s">
        <v>21</v>
      </c>
      <c r="C53" s="40" t="s">
        <v>127</v>
      </c>
      <c r="D53" s="42" t="s">
        <v>92</v>
      </c>
      <c r="E53" s="42" t="s">
        <v>72</v>
      </c>
      <c r="F53" s="43"/>
      <c r="G53" s="40" t="s">
        <v>46</v>
      </c>
      <c r="H53" s="44"/>
      <c r="I53" s="40" t="s">
        <v>47</v>
      </c>
      <c r="J53" s="40" t="s">
        <v>48</v>
      </c>
      <c r="K53" s="42"/>
      <c r="L53" s="40" t="s">
        <v>162</v>
      </c>
    </row>
    <row r="54" customFormat="false" ht="18" hidden="false" customHeight="true" outlineLevel="0" collapsed="false">
      <c r="A54" s="34" t="n">
        <v>18</v>
      </c>
      <c r="B54" s="35" t="s">
        <v>21</v>
      </c>
      <c r="C54" s="34" t="s">
        <v>127</v>
      </c>
      <c r="D54" s="36" t="s">
        <v>163</v>
      </c>
      <c r="E54" s="36" t="s">
        <v>164</v>
      </c>
      <c r="F54" s="37"/>
      <c r="G54" s="34" t="s">
        <v>46</v>
      </c>
      <c r="H54" s="38"/>
      <c r="I54" s="34" t="s">
        <v>47</v>
      </c>
      <c r="J54" s="34" t="s">
        <v>48</v>
      </c>
      <c r="K54" s="36"/>
      <c r="L54" s="34" t="s">
        <v>165</v>
      </c>
    </row>
    <row r="55" customFormat="false" ht="18" hidden="false" customHeight="true" outlineLevel="0" collapsed="false">
      <c r="A55" s="40" t="n">
        <v>19</v>
      </c>
      <c r="B55" s="41" t="s">
        <v>21</v>
      </c>
      <c r="C55" s="40" t="s">
        <v>127</v>
      </c>
      <c r="D55" s="42" t="s">
        <v>115</v>
      </c>
      <c r="E55" s="42" t="s">
        <v>166</v>
      </c>
      <c r="F55" s="43"/>
      <c r="G55" s="40" t="s">
        <v>46</v>
      </c>
      <c r="H55" s="44"/>
      <c r="I55" s="40" t="s">
        <v>47</v>
      </c>
      <c r="J55" s="40" t="s">
        <v>48</v>
      </c>
      <c r="K55" s="42"/>
      <c r="L55" s="40" t="s">
        <v>167</v>
      </c>
    </row>
    <row r="56" customFormat="false" ht="18" hidden="false" customHeight="true" outlineLevel="0" collapsed="false">
      <c r="A56" s="34" t="n">
        <v>20</v>
      </c>
      <c r="B56" s="35" t="s">
        <v>21</v>
      </c>
      <c r="C56" s="34" t="s">
        <v>127</v>
      </c>
      <c r="D56" s="36" t="s">
        <v>108</v>
      </c>
      <c r="E56" s="36" t="s">
        <v>87</v>
      </c>
      <c r="F56" s="37"/>
      <c r="G56" s="34" t="s">
        <v>46</v>
      </c>
      <c r="H56" s="38"/>
      <c r="I56" s="34" t="s">
        <v>47</v>
      </c>
      <c r="J56" s="34" t="s">
        <v>48</v>
      </c>
      <c r="K56" s="36"/>
      <c r="L56" s="34" t="s">
        <v>168</v>
      </c>
    </row>
    <row r="57" customFormat="false" ht="18" hidden="false" customHeight="true" outlineLevel="0" collapsed="false">
      <c r="A57" s="40" t="n">
        <v>21</v>
      </c>
      <c r="B57" s="41" t="s">
        <v>21</v>
      </c>
      <c r="C57" s="40" t="s">
        <v>127</v>
      </c>
      <c r="D57" s="42" t="s">
        <v>61</v>
      </c>
      <c r="E57" s="42" t="s">
        <v>169</v>
      </c>
      <c r="F57" s="43"/>
      <c r="G57" s="40" t="s">
        <v>46</v>
      </c>
      <c r="H57" s="44"/>
      <c r="I57" s="40" t="s">
        <v>47</v>
      </c>
      <c r="J57" s="40" t="s">
        <v>48</v>
      </c>
      <c r="K57" s="42"/>
      <c r="L57" s="40" t="s">
        <v>170</v>
      </c>
    </row>
    <row r="58" customFormat="false" ht="18" hidden="false" customHeight="true" outlineLevel="0" collapsed="false">
      <c r="A58" s="34" t="n">
        <v>22</v>
      </c>
      <c r="B58" s="35" t="s">
        <v>21</v>
      </c>
      <c r="C58" s="34" t="s">
        <v>127</v>
      </c>
      <c r="D58" s="36" t="s">
        <v>74</v>
      </c>
      <c r="E58" s="36" t="s">
        <v>171</v>
      </c>
      <c r="F58" s="37"/>
      <c r="G58" s="34" t="s">
        <v>46</v>
      </c>
      <c r="H58" s="38"/>
      <c r="I58" s="34" t="s">
        <v>47</v>
      </c>
      <c r="J58" s="34" t="s">
        <v>48</v>
      </c>
      <c r="K58" s="36"/>
      <c r="L58" s="34" t="s">
        <v>172</v>
      </c>
    </row>
    <row r="59" customFormat="false" ht="18" hidden="false" customHeight="true" outlineLevel="0" collapsed="false">
      <c r="A59" s="40" t="n">
        <v>23</v>
      </c>
      <c r="B59" s="41" t="s">
        <v>21</v>
      </c>
      <c r="C59" s="40" t="s">
        <v>127</v>
      </c>
      <c r="D59" s="42" t="s">
        <v>173</v>
      </c>
      <c r="E59" s="42" t="s">
        <v>174</v>
      </c>
      <c r="F59" s="43"/>
      <c r="G59" s="40" t="s">
        <v>46</v>
      </c>
      <c r="H59" s="44"/>
      <c r="I59" s="40" t="s">
        <v>47</v>
      </c>
      <c r="J59" s="40" t="s">
        <v>48</v>
      </c>
      <c r="K59" s="42"/>
      <c r="L59" s="40" t="s">
        <v>175</v>
      </c>
    </row>
    <row r="60" customFormat="false" ht="18" hidden="false" customHeight="true" outlineLevel="0" collapsed="false">
      <c r="A60" s="34" t="n">
        <v>24</v>
      </c>
      <c r="B60" s="35" t="s">
        <v>21</v>
      </c>
      <c r="C60" s="34" t="s">
        <v>127</v>
      </c>
      <c r="D60" s="36" t="s">
        <v>176</v>
      </c>
      <c r="E60" s="36" t="s">
        <v>101</v>
      </c>
      <c r="F60" s="37"/>
      <c r="G60" s="34" t="s">
        <v>46</v>
      </c>
      <c r="H60" s="38"/>
      <c r="I60" s="34" t="s">
        <v>47</v>
      </c>
      <c r="J60" s="34" t="s">
        <v>48</v>
      </c>
      <c r="K60" s="36"/>
      <c r="L60" s="34" t="s">
        <v>177</v>
      </c>
    </row>
    <row r="61" customFormat="false" ht="18" hidden="false" customHeight="true" outlineLevel="0" collapsed="false">
      <c r="A61" s="40" t="n">
        <v>25</v>
      </c>
      <c r="B61" s="41" t="s">
        <v>21</v>
      </c>
      <c r="C61" s="40" t="s">
        <v>127</v>
      </c>
      <c r="D61" s="42" t="s">
        <v>178</v>
      </c>
      <c r="E61" s="42" t="s">
        <v>109</v>
      </c>
      <c r="F61" s="43"/>
      <c r="G61" s="40" t="s">
        <v>46</v>
      </c>
      <c r="H61" s="44"/>
      <c r="I61" s="40" t="s">
        <v>47</v>
      </c>
      <c r="J61" s="40" t="s">
        <v>48</v>
      </c>
      <c r="K61" s="42"/>
      <c r="L61" s="40" t="s">
        <v>179</v>
      </c>
    </row>
    <row r="62" customFormat="false" ht="18" hidden="false" customHeight="true" outlineLevel="0" collapsed="false">
      <c r="A62" s="34" t="n">
        <v>26</v>
      </c>
      <c r="B62" s="35" t="s">
        <v>21</v>
      </c>
      <c r="C62" s="34" t="s">
        <v>127</v>
      </c>
      <c r="D62" s="36" t="s">
        <v>95</v>
      </c>
      <c r="E62" s="36" t="s">
        <v>180</v>
      </c>
      <c r="F62" s="37"/>
      <c r="G62" s="34" t="s">
        <v>46</v>
      </c>
      <c r="H62" s="38"/>
      <c r="I62" s="34" t="s">
        <v>47</v>
      </c>
      <c r="J62" s="34" t="s">
        <v>48</v>
      </c>
      <c r="K62" s="36"/>
      <c r="L62" s="34" t="s">
        <v>181</v>
      </c>
    </row>
    <row r="63" customFormat="false" ht="18" hidden="false" customHeight="true" outlineLevel="0" collapsed="false">
      <c r="A63" s="40" t="n">
        <v>27</v>
      </c>
      <c r="B63" s="41" t="s">
        <v>21</v>
      </c>
      <c r="C63" s="40" t="s">
        <v>127</v>
      </c>
      <c r="D63" s="42" t="s">
        <v>83</v>
      </c>
      <c r="E63" s="42" t="s">
        <v>106</v>
      </c>
      <c r="F63" s="43"/>
      <c r="G63" s="40" t="s">
        <v>46</v>
      </c>
      <c r="H63" s="44"/>
      <c r="I63" s="40" t="s">
        <v>47</v>
      </c>
      <c r="J63" s="40" t="s">
        <v>48</v>
      </c>
      <c r="K63" s="42"/>
      <c r="L63" s="40" t="s">
        <v>182</v>
      </c>
    </row>
    <row r="64" customFormat="false" ht="18" hidden="false" customHeight="true" outlineLevel="0" collapsed="false">
      <c r="A64" s="34" t="n">
        <v>28</v>
      </c>
      <c r="B64" s="35" t="s">
        <v>21</v>
      </c>
      <c r="C64" s="34" t="s">
        <v>127</v>
      </c>
      <c r="D64" s="36" t="s">
        <v>183</v>
      </c>
      <c r="E64" s="36" t="s">
        <v>84</v>
      </c>
      <c r="F64" s="37"/>
      <c r="G64" s="34" t="s">
        <v>46</v>
      </c>
      <c r="H64" s="38"/>
      <c r="I64" s="34" t="s">
        <v>47</v>
      </c>
      <c r="J64" s="34" t="s">
        <v>48</v>
      </c>
      <c r="K64" s="36"/>
      <c r="L64" s="34" t="s">
        <v>184</v>
      </c>
    </row>
    <row r="65" customFormat="false" ht="18" hidden="false" customHeight="true" outlineLevel="0" collapsed="false">
      <c r="A65" s="40" t="n">
        <v>29</v>
      </c>
      <c r="B65" s="41" t="s">
        <v>21</v>
      </c>
      <c r="C65" s="40" t="s">
        <v>127</v>
      </c>
      <c r="D65" s="42" t="s">
        <v>111</v>
      </c>
      <c r="E65" s="42" t="s">
        <v>96</v>
      </c>
      <c r="F65" s="43"/>
      <c r="G65" s="40" t="s">
        <v>46</v>
      </c>
      <c r="H65" s="44"/>
      <c r="I65" s="40" t="s">
        <v>47</v>
      </c>
      <c r="J65" s="40" t="s">
        <v>48</v>
      </c>
      <c r="K65" s="42"/>
      <c r="L65" s="40" t="s">
        <v>185</v>
      </c>
    </row>
    <row r="66" customFormat="false" ht="18" hidden="false" customHeight="true" outlineLevel="0" collapsed="false">
      <c r="A66" s="34" t="n">
        <v>30</v>
      </c>
      <c r="B66" s="35" t="s">
        <v>21</v>
      </c>
      <c r="C66" s="34" t="s">
        <v>127</v>
      </c>
      <c r="D66" s="36" t="s">
        <v>186</v>
      </c>
      <c r="E66" s="36" t="s">
        <v>69</v>
      </c>
      <c r="F66" s="37"/>
      <c r="G66" s="34" t="s">
        <v>46</v>
      </c>
      <c r="H66" s="38"/>
      <c r="I66" s="34" t="s">
        <v>47</v>
      </c>
      <c r="J66" s="34" t="s">
        <v>48</v>
      </c>
      <c r="K66" s="36"/>
      <c r="L66" s="34" t="s">
        <v>187</v>
      </c>
    </row>
    <row r="67" customFormat="false" ht="18" hidden="false" customHeight="true" outlineLevel="0" collapsed="false">
      <c r="A67" s="40" t="n">
        <v>31</v>
      </c>
      <c r="B67" s="41" t="s">
        <v>21</v>
      </c>
      <c r="C67" s="40" t="s">
        <v>127</v>
      </c>
      <c r="D67" s="42" t="s">
        <v>120</v>
      </c>
      <c r="E67" s="42" t="s">
        <v>188</v>
      </c>
      <c r="F67" s="43"/>
      <c r="G67" s="40" t="s">
        <v>46</v>
      </c>
      <c r="H67" s="44"/>
      <c r="I67" s="40" t="s">
        <v>47</v>
      </c>
      <c r="J67" s="40" t="s">
        <v>48</v>
      </c>
      <c r="K67" s="42"/>
      <c r="L67" s="40" t="s">
        <v>189</v>
      </c>
    </row>
    <row r="68" customFormat="false" ht="18" hidden="false" customHeight="true" outlineLevel="0" collapsed="false">
      <c r="A68" s="34" t="n">
        <v>32</v>
      </c>
      <c r="B68" s="35" t="s">
        <v>21</v>
      </c>
      <c r="C68" s="34" t="s">
        <v>127</v>
      </c>
      <c r="D68" s="36" t="s">
        <v>100</v>
      </c>
      <c r="E68" s="36" t="s">
        <v>109</v>
      </c>
      <c r="F68" s="37"/>
      <c r="G68" s="34" t="s">
        <v>46</v>
      </c>
      <c r="H68" s="38"/>
      <c r="I68" s="34" t="s">
        <v>47</v>
      </c>
      <c r="J68" s="34" t="s">
        <v>48</v>
      </c>
      <c r="K68" s="36"/>
      <c r="L68" s="34" t="s">
        <v>190</v>
      </c>
    </row>
    <row r="69" customFormat="false" ht="18" hidden="false" customHeight="true" outlineLevel="0" collapsed="false">
      <c r="A69" s="40" t="n">
        <v>33</v>
      </c>
      <c r="B69" s="41" t="s">
        <v>21</v>
      </c>
      <c r="C69" s="40" t="s">
        <v>127</v>
      </c>
      <c r="D69" s="42" t="s">
        <v>103</v>
      </c>
      <c r="E69" s="42" t="s">
        <v>101</v>
      </c>
      <c r="F69" s="43"/>
      <c r="G69" s="40" t="s">
        <v>46</v>
      </c>
      <c r="H69" s="44"/>
      <c r="I69" s="40" t="s">
        <v>47</v>
      </c>
      <c r="J69" s="40" t="s">
        <v>48</v>
      </c>
      <c r="K69" s="42"/>
      <c r="L69" s="40" t="s">
        <v>191</v>
      </c>
    </row>
    <row r="70" customFormat="false" ht="18" hidden="false" customHeight="true" outlineLevel="0" collapsed="false">
      <c r="A70" s="34" t="n">
        <v>34</v>
      </c>
      <c r="B70" s="35" t="s">
        <v>21</v>
      </c>
      <c r="C70" s="34" t="s">
        <v>127</v>
      </c>
      <c r="D70" s="36" t="s">
        <v>105</v>
      </c>
      <c r="E70" s="36" t="s">
        <v>106</v>
      </c>
      <c r="F70" s="37"/>
      <c r="G70" s="34" t="s">
        <v>46</v>
      </c>
      <c r="H70" s="38"/>
      <c r="I70" s="34" t="s">
        <v>47</v>
      </c>
      <c r="J70" s="34" t="s">
        <v>48</v>
      </c>
      <c r="K70" s="36"/>
      <c r="L70" s="34" t="s">
        <v>192</v>
      </c>
    </row>
    <row r="71" customFormat="false" ht="21.75" hidden="false" customHeight="true" outlineLevel="0" collapsed="false">
      <c r="A71" s="45" t="s">
        <v>193</v>
      </c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</row>
    <row r="72" customFormat="false" ht="18" hidden="false" customHeight="true" outlineLevel="0" collapsed="false">
      <c r="A72" s="46" t="n">
        <v>1</v>
      </c>
      <c r="B72" s="47" t="s">
        <v>22</v>
      </c>
      <c r="C72" s="46" t="s">
        <v>194</v>
      </c>
      <c r="D72" s="48" t="s">
        <v>63</v>
      </c>
      <c r="E72" s="48" t="s">
        <v>195</v>
      </c>
      <c r="F72" s="49"/>
      <c r="G72" s="46" t="s">
        <v>46</v>
      </c>
      <c r="H72" s="50"/>
      <c r="I72" s="46" t="s">
        <v>47</v>
      </c>
      <c r="J72" s="46" t="s">
        <v>48</v>
      </c>
      <c r="K72" s="48"/>
      <c r="L72" s="46" t="s">
        <v>196</v>
      </c>
    </row>
    <row r="73" customFormat="false" ht="18" hidden="false" customHeight="true" outlineLevel="0" collapsed="false">
      <c r="A73" s="34" t="n">
        <v>2</v>
      </c>
      <c r="B73" s="35" t="s">
        <v>22</v>
      </c>
      <c r="C73" s="34" t="s">
        <v>194</v>
      </c>
      <c r="D73" s="36" t="s">
        <v>44</v>
      </c>
      <c r="E73" s="36" t="s">
        <v>45</v>
      </c>
      <c r="F73" s="37"/>
      <c r="G73" s="34" t="s">
        <v>46</v>
      </c>
      <c r="H73" s="38"/>
      <c r="I73" s="34" t="s">
        <v>47</v>
      </c>
      <c r="J73" s="34" t="s">
        <v>48</v>
      </c>
      <c r="K73" s="36"/>
      <c r="L73" s="34" t="s">
        <v>197</v>
      </c>
    </row>
    <row r="74" customFormat="false" ht="18" hidden="false" customHeight="true" outlineLevel="0" collapsed="false">
      <c r="A74" s="46" t="n">
        <v>3</v>
      </c>
      <c r="B74" s="47" t="s">
        <v>22</v>
      </c>
      <c r="C74" s="46" t="s">
        <v>194</v>
      </c>
      <c r="D74" s="48" t="s">
        <v>198</v>
      </c>
      <c r="E74" s="48" t="s">
        <v>118</v>
      </c>
      <c r="F74" s="49"/>
      <c r="G74" s="46" t="s">
        <v>46</v>
      </c>
      <c r="H74" s="50"/>
      <c r="I74" s="46" t="s">
        <v>47</v>
      </c>
      <c r="J74" s="46" t="s">
        <v>48</v>
      </c>
      <c r="K74" s="48"/>
      <c r="L74" s="46" t="s">
        <v>199</v>
      </c>
    </row>
    <row r="75" customFormat="false" ht="18" hidden="false" customHeight="true" outlineLevel="0" collapsed="false">
      <c r="A75" s="34" t="n">
        <v>4</v>
      </c>
      <c r="B75" s="35" t="s">
        <v>22</v>
      </c>
      <c r="C75" s="34" t="s">
        <v>194</v>
      </c>
      <c r="D75" s="36" t="s">
        <v>200</v>
      </c>
      <c r="E75" s="36" t="s">
        <v>59</v>
      </c>
      <c r="F75" s="37"/>
      <c r="G75" s="34" t="s">
        <v>46</v>
      </c>
      <c r="H75" s="38"/>
      <c r="I75" s="34" t="s">
        <v>47</v>
      </c>
      <c r="J75" s="34" t="s">
        <v>48</v>
      </c>
      <c r="K75" s="36"/>
      <c r="L75" s="34" t="s">
        <v>201</v>
      </c>
    </row>
    <row r="76" customFormat="false" ht="18" hidden="false" customHeight="true" outlineLevel="0" collapsed="false">
      <c r="A76" s="46" t="n">
        <v>5</v>
      </c>
      <c r="B76" s="47" t="s">
        <v>22</v>
      </c>
      <c r="C76" s="46" t="s">
        <v>194</v>
      </c>
      <c r="D76" s="48" t="s">
        <v>128</v>
      </c>
      <c r="E76" s="48" t="s">
        <v>51</v>
      </c>
      <c r="F76" s="49"/>
      <c r="G76" s="46" t="s">
        <v>46</v>
      </c>
      <c r="H76" s="50"/>
      <c r="I76" s="46" t="s">
        <v>47</v>
      </c>
      <c r="J76" s="46" t="s">
        <v>48</v>
      </c>
      <c r="K76" s="48"/>
      <c r="L76" s="46" t="s">
        <v>202</v>
      </c>
    </row>
    <row r="77" customFormat="false" ht="18" hidden="false" customHeight="true" outlineLevel="0" collapsed="false">
      <c r="A77" s="34" t="n">
        <v>6</v>
      </c>
      <c r="B77" s="35" t="s">
        <v>22</v>
      </c>
      <c r="C77" s="34" t="s">
        <v>194</v>
      </c>
      <c r="D77" s="36" t="s">
        <v>203</v>
      </c>
      <c r="E77" s="36" t="s">
        <v>204</v>
      </c>
      <c r="F77" s="37"/>
      <c r="G77" s="34" t="s">
        <v>46</v>
      </c>
      <c r="H77" s="38"/>
      <c r="I77" s="34" t="s">
        <v>47</v>
      </c>
      <c r="J77" s="34" t="s">
        <v>48</v>
      </c>
      <c r="K77" s="36"/>
      <c r="L77" s="34" t="s">
        <v>205</v>
      </c>
    </row>
    <row r="78" customFormat="false" ht="18" hidden="false" customHeight="true" outlineLevel="0" collapsed="false">
      <c r="A78" s="46" t="n">
        <v>7</v>
      </c>
      <c r="B78" s="47" t="s">
        <v>22</v>
      </c>
      <c r="C78" s="46" t="s">
        <v>194</v>
      </c>
      <c r="D78" s="48" t="s">
        <v>206</v>
      </c>
      <c r="E78" s="48" t="s">
        <v>64</v>
      </c>
      <c r="F78" s="49"/>
      <c r="G78" s="46" t="s">
        <v>46</v>
      </c>
      <c r="H78" s="50"/>
      <c r="I78" s="46" t="s">
        <v>47</v>
      </c>
      <c r="J78" s="46" t="s">
        <v>48</v>
      </c>
      <c r="K78" s="48"/>
      <c r="L78" s="46" t="s">
        <v>207</v>
      </c>
    </row>
    <row r="79" customFormat="false" ht="18" hidden="false" customHeight="true" outlineLevel="0" collapsed="false">
      <c r="A79" s="34" t="n">
        <v>8</v>
      </c>
      <c r="B79" s="35" t="s">
        <v>22</v>
      </c>
      <c r="C79" s="34" t="s">
        <v>194</v>
      </c>
      <c r="D79" s="36" t="s">
        <v>80</v>
      </c>
      <c r="E79" s="36" t="s">
        <v>208</v>
      </c>
      <c r="F79" s="37"/>
      <c r="G79" s="34" t="s">
        <v>46</v>
      </c>
      <c r="H79" s="38"/>
      <c r="I79" s="34" t="s">
        <v>47</v>
      </c>
      <c r="J79" s="34" t="s">
        <v>48</v>
      </c>
      <c r="K79" s="36"/>
      <c r="L79" s="34" t="s">
        <v>209</v>
      </c>
    </row>
    <row r="80" customFormat="false" ht="18" hidden="false" customHeight="true" outlineLevel="0" collapsed="false">
      <c r="A80" s="46" t="n">
        <v>9</v>
      </c>
      <c r="B80" s="47" t="s">
        <v>22</v>
      </c>
      <c r="C80" s="46" t="s">
        <v>194</v>
      </c>
      <c r="D80" s="48" t="s">
        <v>210</v>
      </c>
      <c r="E80" s="48" t="s">
        <v>137</v>
      </c>
      <c r="F80" s="49"/>
      <c r="G80" s="46" t="s">
        <v>46</v>
      </c>
      <c r="H80" s="50"/>
      <c r="I80" s="46" t="s">
        <v>47</v>
      </c>
      <c r="J80" s="46" t="s">
        <v>48</v>
      </c>
      <c r="K80" s="48"/>
      <c r="L80" s="46" t="s">
        <v>211</v>
      </c>
    </row>
    <row r="81" customFormat="false" ht="18" hidden="false" customHeight="true" outlineLevel="0" collapsed="false">
      <c r="A81" s="34" t="n">
        <v>10</v>
      </c>
      <c r="B81" s="35" t="s">
        <v>22</v>
      </c>
      <c r="C81" s="34" t="s">
        <v>194</v>
      </c>
      <c r="D81" s="36" t="s">
        <v>86</v>
      </c>
      <c r="E81" s="36" t="s">
        <v>212</v>
      </c>
      <c r="F81" s="37"/>
      <c r="G81" s="34" t="s">
        <v>46</v>
      </c>
      <c r="H81" s="38"/>
      <c r="I81" s="34" t="s">
        <v>47</v>
      </c>
      <c r="J81" s="34" t="s">
        <v>48</v>
      </c>
      <c r="K81" s="36"/>
      <c r="L81" s="34" t="s">
        <v>213</v>
      </c>
    </row>
    <row r="82" customFormat="false" ht="18" hidden="false" customHeight="true" outlineLevel="0" collapsed="false">
      <c r="A82" s="46" t="n">
        <v>11</v>
      </c>
      <c r="B82" s="47" t="s">
        <v>22</v>
      </c>
      <c r="C82" s="46" t="s">
        <v>194</v>
      </c>
      <c r="D82" s="48" t="s">
        <v>89</v>
      </c>
      <c r="E82" s="48" t="s">
        <v>214</v>
      </c>
      <c r="F82" s="49"/>
      <c r="G82" s="46" t="s">
        <v>46</v>
      </c>
      <c r="H82" s="50"/>
      <c r="I82" s="46" t="s">
        <v>47</v>
      </c>
      <c r="J82" s="46" t="s">
        <v>48</v>
      </c>
      <c r="K82" s="48"/>
      <c r="L82" s="46" t="s">
        <v>215</v>
      </c>
    </row>
    <row r="83" customFormat="false" ht="18" hidden="false" customHeight="true" outlineLevel="0" collapsed="false">
      <c r="A83" s="34" t="n">
        <v>12</v>
      </c>
      <c r="B83" s="35" t="s">
        <v>22</v>
      </c>
      <c r="C83" s="34" t="s">
        <v>194</v>
      </c>
      <c r="D83" s="36" t="s">
        <v>141</v>
      </c>
      <c r="E83" s="36" t="s">
        <v>87</v>
      </c>
      <c r="F83" s="37"/>
      <c r="G83" s="34" t="s">
        <v>46</v>
      </c>
      <c r="H83" s="38"/>
      <c r="I83" s="34" t="s">
        <v>47</v>
      </c>
      <c r="J83" s="34" t="s">
        <v>48</v>
      </c>
      <c r="K83" s="36"/>
      <c r="L83" s="34" t="s">
        <v>216</v>
      </c>
    </row>
    <row r="84" customFormat="false" ht="18" hidden="false" customHeight="true" outlineLevel="0" collapsed="false">
      <c r="A84" s="46" t="n">
        <v>13</v>
      </c>
      <c r="B84" s="47" t="s">
        <v>22</v>
      </c>
      <c r="C84" s="46" t="s">
        <v>194</v>
      </c>
      <c r="D84" s="48" t="s">
        <v>66</v>
      </c>
      <c r="E84" s="48" t="s">
        <v>90</v>
      </c>
      <c r="F84" s="49"/>
      <c r="G84" s="46" t="s">
        <v>46</v>
      </c>
      <c r="H84" s="50"/>
      <c r="I84" s="46" t="s">
        <v>47</v>
      </c>
      <c r="J84" s="46" t="s">
        <v>48</v>
      </c>
      <c r="K84" s="48"/>
      <c r="L84" s="46" t="s">
        <v>217</v>
      </c>
    </row>
    <row r="85" customFormat="false" ht="18" hidden="false" customHeight="true" outlineLevel="0" collapsed="false">
      <c r="A85" s="34" t="n">
        <v>14</v>
      </c>
      <c r="B85" s="35" t="s">
        <v>22</v>
      </c>
      <c r="C85" s="34" t="s">
        <v>194</v>
      </c>
      <c r="D85" s="36" t="s">
        <v>71</v>
      </c>
      <c r="E85" s="36" t="s">
        <v>72</v>
      </c>
      <c r="F85" s="37"/>
      <c r="G85" s="34" t="s">
        <v>46</v>
      </c>
      <c r="H85" s="38"/>
      <c r="I85" s="34" t="s">
        <v>47</v>
      </c>
      <c r="J85" s="34" t="s">
        <v>48</v>
      </c>
      <c r="K85" s="36"/>
      <c r="L85" s="34" t="s">
        <v>218</v>
      </c>
    </row>
    <row r="86" customFormat="false" ht="18" hidden="false" customHeight="true" outlineLevel="0" collapsed="false">
      <c r="A86" s="46" t="n">
        <v>15</v>
      </c>
      <c r="B86" s="47" t="s">
        <v>22</v>
      </c>
      <c r="C86" s="46" t="s">
        <v>194</v>
      </c>
      <c r="D86" s="48" t="s">
        <v>219</v>
      </c>
      <c r="E86" s="48" t="s">
        <v>75</v>
      </c>
      <c r="F86" s="49"/>
      <c r="G86" s="46" t="s">
        <v>46</v>
      </c>
      <c r="H86" s="50"/>
      <c r="I86" s="46" t="s">
        <v>47</v>
      </c>
      <c r="J86" s="46" t="s">
        <v>48</v>
      </c>
      <c r="K86" s="48"/>
      <c r="L86" s="46" t="s">
        <v>220</v>
      </c>
    </row>
    <row r="87" customFormat="false" ht="18" hidden="false" customHeight="true" outlineLevel="0" collapsed="false">
      <c r="A87" s="34" t="n">
        <v>16</v>
      </c>
      <c r="B87" s="35" t="s">
        <v>22</v>
      </c>
      <c r="C87" s="34" t="s">
        <v>194</v>
      </c>
      <c r="D87" s="36" t="s">
        <v>98</v>
      </c>
      <c r="E87" s="36" t="s">
        <v>221</v>
      </c>
      <c r="F87" s="37"/>
      <c r="G87" s="34" t="s">
        <v>46</v>
      </c>
      <c r="H87" s="38"/>
      <c r="I87" s="34" t="s">
        <v>47</v>
      </c>
      <c r="J87" s="34" t="s">
        <v>48</v>
      </c>
      <c r="K87" s="36"/>
      <c r="L87" s="34" t="s">
        <v>222</v>
      </c>
    </row>
    <row r="88" customFormat="false" ht="18" hidden="false" customHeight="true" outlineLevel="0" collapsed="false">
      <c r="A88" s="46" t="n">
        <v>17</v>
      </c>
      <c r="B88" s="47" t="s">
        <v>22</v>
      </c>
      <c r="C88" s="46" t="s">
        <v>194</v>
      </c>
      <c r="D88" s="48" t="s">
        <v>223</v>
      </c>
      <c r="E88" s="48" t="s">
        <v>154</v>
      </c>
      <c r="F88" s="49"/>
      <c r="G88" s="46" t="s">
        <v>46</v>
      </c>
      <c r="H88" s="50"/>
      <c r="I88" s="46" t="s">
        <v>47</v>
      </c>
      <c r="J88" s="46" t="s">
        <v>48</v>
      </c>
      <c r="K88" s="48"/>
      <c r="L88" s="46" t="s">
        <v>224</v>
      </c>
    </row>
    <row r="89" customFormat="false" ht="18" hidden="false" customHeight="true" outlineLevel="0" collapsed="false">
      <c r="A89" s="34" t="n">
        <v>18</v>
      </c>
      <c r="B89" s="35" t="s">
        <v>22</v>
      </c>
      <c r="C89" s="34" t="s">
        <v>194</v>
      </c>
      <c r="D89" s="36" t="s">
        <v>225</v>
      </c>
      <c r="E89" s="36" t="s">
        <v>152</v>
      </c>
      <c r="F89" s="37"/>
      <c r="G89" s="34" t="s">
        <v>46</v>
      </c>
      <c r="H89" s="38"/>
      <c r="I89" s="34" t="s">
        <v>47</v>
      </c>
      <c r="J89" s="34" t="s">
        <v>48</v>
      </c>
      <c r="K89" s="36"/>
      <c r="L89" s="34" t="s">
        <v>226</v>
      </c>
    </row>
    <row r="90" customFormat="false" ht="18" hidden="false" customHeight="true" outlineLevel="0" collapsed="false">
      <c r="A90" s="46" t="n">
        <v>19</v>
      </c>
      <c r="B90" s="47" t="s">
        <v>22</v>
      </c>
      <c r="C90" s="46" t="s">
        <v>194</v>
      </c>
      <c r="D90" s="48" t="s">
        <v>227</v>
      </c>
      <c r="E90" s="48" t="s">
        <v>228</v>
      </c>
      <c r="F90" s="49"/>
      <c r="G90" s="46" t="s">
        <v>46</v>
      </c>
      <c r="H90" s="50"/>
      <c r="I90" s="46" t="s">
        <v>47</v>
      </c>
      <c r="J90" s="46" t="s">
        <v>48</v>
      </c>
      <c r="K90" s="48"/>
      <c r="L90" s="46" t="s">
        <v>229</v>
      </c>
    </row>
    <row r="91" customFormat="false" ht="18" hidden="false" customHeight="true" outlineLevel="0" collapsed="false">
      <c r="A91" s="34" t="n">
        <v>20</v>
      </c>
      <c r="B91" s="35" t="s">
        <v>22</v>
      </c>
      <c r="C91" s="34" t="s">
        <v>194</v>
      </c>
      <c r="D91" s="36" t="s">
        <v>230</v>
      </c>
      <c r="E91" s="36" t="s">
        <v>231</v>
      </c>
      <c r="F91" s="37"/>
      <c r="G91" s="34" t="s">
        <v>46</v>
      </c>
      <c r="H91" s="38"/>
      <c r="I91" s="34" t="s">
        <v>47</v>
      </c>
      <c r="J91" s="34" t="s">
        <v>48</v>
      </c>
      <c r="K91" s="36"/>
      <c r="L91" s="34" t="s">
        <v>232</v>
      </c>
    </row>
    <row r="92" customFormat="false" ht="18" hidden="false" customHeight="true" outlineLevel="0" collapsed="false">
      <c r="A92" s="46" t="n">
        <v>21</v>
      </c>
      <c r="B92" s="47" t="s">
        <v>22</v>
      </c>
      <c r="C92" s="46" t="s">
        <v>194</v>
      </c>
      <c r="D92" s="48" t="s">
        <v>233</v>
      </c>
      <c r="E92" s="48" t="s">
        <v>234</v>
      </c>
      <c r="F92" s="49"/>
      <c r="G92" s="46" t="s">
        <v>46</v>
      </c>
      <c r="H92" s="50"/>
      <c r="I92" s="46" t="s">
        <v>47</v>
      </c>
      <c r="J92" s="46" t="s">
        <v>48</v>
      </c>
      <c r="K92" s="48"/>
      <c r="L92" s="46" t="s">
        <v>235</v>
      </c>
    </row>
    <row r="93" customFormat="false" ht="18" hidden="false" customHeight="true" outlineLevel="0" collapsed="false">
      <c r="A93" s="34" t="n">
        <v>22</v>
      </c>
      <c r="B93" s="35" t="s">
        <v>22</v>
      </c>
      <c r="C93" s="34" t="s">
        <v>194</v>
      </c>
      <c r="D93" s="36" t="s">
        <v>58</v>
      </c>
      <c r="E93" s="36" t="s">
        <v>109</v>
      </c>
      <c r="F93" s="37"/>
      <c r="G93" s="34" t="s">
        <v>46</v>
      </c>
      <c r="H93" s="38"/>
      <c r="I93" s="34" t="s">
        <v>47</v>
      </c>
      <c r="J93" s="34" t="s">
        <v>48</v>
      </c>
      <c r="K93" s="36"/>
      <c r="L93" s="34" t="s">
        <v>236</v>
      </c>
    </row>
    <row r="94" customFormat="false" ht="18" hidden="false" customHeight="true" outlineLevel="0" collapsed="false">
      <c r="A94" s="46" t="n">
        <v>23</v>
      </c>
      <c r="B94" s="47" t="s">
        <v>22</v>
      </c>
      <c r="C94" s="46" t="s">
        <v>194</v>
      </c>
      <c r="D94" s="48" t="s">
        <v>237</v>
      </c>
      <c r="E94" s="48" t="s">
        <v>238</v>
      </c>
      <c r="F94" s="49"/>
      <c r="G94" s="46" t="s">
        <v>46</v>
      </c>
      <c r="H94" s="50"/>
      <c r="I94" s="46" t="s">
        <v>47</v>
      </c>
      <c r="J94" s="46" t="s">
        <v>48</v>
      </c>
      <c r="K94" s="48"/>
      <c r="L94" s="46" t="s">
        <v>239</v>
      </c>
    </row>
    <row r="95" customFormat="false" ht="18" hidden="false" customHeight="true" outlineLevel="0" collapsed="false">
      <c r="A95" s="34" t="n">
        <v>24</v>
      </c>
      <c r="B95" s="35" t="s">
        <v>22</v>
      </c>
      <c r="C95" s="34" t="s">
        <v>194</v>
      </c>
      <c r="D95" s="36" t="s">
        <v>95</v>
      </c>
      <c r="E95" s="36" t="s">
        <v>84</v>
      </c>
      <c r="F95" s="37"/>
      <c r="G95" s="34" t="s">
        <v>46</v>
      </c>
      <c r="H95" s="38"/>
      <c r="I95" s="34" t="s">
        <v>47</v>
      </c>
      <c r="J95" s="34" t="s">
        <v>48</v>
      </c>
      <c r="K95" s="36"/>
      <c r="L95" s="34" t="s">
        <v>240</v>
      </c>
    </row>
    <row r="96" customFormat="false" ht="18" hidden="false" customHeight="true" outlineLevel="0" collapsed="false">
      <c r="A96" s="46" t="n">
        <v>25</v>
      </c>
      <c r="B96" s="47" t="s">
        <v>22</v>
      </c>
      <c r="C96" s="46" t="s">
        <v>194</v>
      </c>
      <c r="D96" s="48" t="s">
        <v>83</v>
      </c>
      <c r="E96" s="48" t="s">
        <v>69</v>
      </c>
      <c r="F96" s="49"/>
      <c r="G96" s="46" t="s">
        <v>46</v>
      </c>
      <c r="H96" s="50"/>
      <c r="I96" s="46" t="s">
        <v>47</v>
      </c>
      <c r="J96" s="46" t="s">
        <v>48</v>
      </c>
      <c r="K96" s="48"/>
      <c r="L96" s="46" t="s">
        <v>241</v>
      </c>
    </row>
    <row r="97" customFormat="false" ht="18" hidden="false" customHeight="true" outlineLevel="0" collapsed="false">
      <c r="A97" s="34" t="n">
        <v>26</v>
      </c>
      <c r="B97" s="35" t="s">
        <v>22</v>
      </c>
      <c r="C97" s="34" t="s">
        <v>194</v>
      </c>
      <c r="D97" s="36" t="s">
        <v>242</v>
      </c>
      <c r="E97" s="36" t="s">
        <v>234</v>
      </c>
      <c r="F97" s="37"/>
      <c r="G97" s="34" t="s">
        <v>46</v>
      </c>
      <c r="H97" s="38"/>
      <c r="I97" s="34" t="s">
        <v>47</v>
      </c>
      <c r="J97" s="34" t="s">
        <v>48</v>
      </c>
      <c r="K97" s="36"/>
      <c r="L97" s="34" t="s">
        <v>243</v>
      </c>
    </row>
    <row r="98" customFormat="false" ht="18" hidden="false" customHeight="true" outlineLevel="0" collapsed="false">
      <c r="A98" s="46" t="n">
        <v>27</v>
      </c>
      <c r="B98" s="47" t="s">
        <v>22</v>
      </c>
      <c r="C98" s="46" t="s">
        <v>194</v>
      </c>
      <c r="D98" s="48" t="s">
        <v>115</v>
      </c>
      <c r="E98" s="48" t="s">
        <v>109</v>
      </c>
      <c r="F98" s="49"/>
      <c r="G98" s="46" t="s">
        <v>46</v>
      </c>
      <c r="H98" s="50"/>
      <c r="I98" s="46" t="s">
        <v>47</v>
      </c>
      <c r="J98" s="46" t="s">
        <v>48</v>
      </c>
      <c r="K98" s="48"/>
      <c r="L98" s="46" t="s">
        <v>244</v>
      </c>
    </row>
    <row r="99" customFormat="false" ht="18" hidden="false" customHeight="true" outlineLevel="0" collapsed="false">
      <c r="A99" s="34" t="n">
        <v>28</v>
      </c>
      <c r="B99" s="35" t="s">
        <v>22</v>
      </c>
      <c r="C99" s="34" t="s">
        <v>194</v>
      </c>
      <c r="D99" s="36" t="s">
        <v>156</v>
      </c>
      <c r="E99" s="36" t="s">
        <v>96</v>
      </c>
      <c r="F99" s="37"/>
      <c r="G99" s="34" t="s">
        <v>46</v>
      </c>
      <c r="H99" s="38"/>
      <c r="I99" s="34" t="s">
        <v>47</v>
      </c>
      <c r="J99" s="34" t="s">
        <v>48</v>
      </c>
      <c r="K99" s="36"/>
      <c r="L99" s="34" t="s">
        <v>245</v>
      </c>
    </row>
    <row r="100" customFormat="false" ht="18" hidden="false" customHeight="true" outlineLevel="0" collapsed="false">
      <c r="A100" s="46" t="n">
        <v>29</v>
      </c>
      <c r="B100" s="47" t="s">
        <v>22</v>
      </c>
      <c r="C100" s="46" t="s">
        <v>194</v>
      </c>
      <c r="D100" s="48" t="s">
        <v>178</v>
      </c>
      <c r="E100" s="48" t="s">
        <v>72</v>
      </c>
      <c r="F100" s="49"/>
      <c r="G100" s="46" t="s">
        <v>46</v>
      </c>
      <c r="H100" s="50"/>
      <c r="I100" s="46" t="s">
        <v>47</v>
      </c>
      <c r="J100" s="46" t="s">
        <v>48</v>
      </c>
      <c r="K100" s="48"/>
      <c r="L100" s="46" t="s">
        <v>246</v>
      </c>
    </row>
    <row r="101" customFormat="false" ht="18" hidden="false" customHeight="true" outlineLevel="0" collapsed="false">
      <c r="A101" s="34" t="n">
        <v>30</v>
      </c>
      <c r="B101" s="35" t="s">
        <v>22</v>
      </c>
      <c r="C101" s="34" t="s">
        <v>194</v>
      </c>
      <c r="D101" s="36" t="s">
        <v>100</v>
      </c>
      <c r="E101" s="36" t="s">
        <v>84</v>
      </c>
      <c r="F101" s="37"/>
      <c r="G101" s="34" t="s">
        <v>46</v>
      </c>
      <c r="H101" s="38"/>
      <c r="I101" s="34" t="s">
        <v>47</v>
      </c>
      <c r="J101" s="34" t="s">
        <v>48</v>
      </c>
      <c r="K101" s="36"/>
      <c r="L101" s="34" t="s">
        <v>247</v>
      </c>
    </row>
    <row r="102" customFormat="false" ht="18" hidden="false" customHeight="true" outlineLevel="0" collapsed="false">
      <c r="A102" s="46" t="n">
        <v>31</v>
      </c>
      <c r="B102" s="47" t="s">
        <v>22</v>
      </c>
      <c r="C102" s="46" t="s">
        <v>194</v>
      </c>
      <c r="D102" s="48" t="s">
        <v>103</v>
      </c>
      <c r="E102" s="48" t="s">
        <v>69</v>
      </c>
      <c r="F102" s="49"/>
      <c r="G102" s="46" t="s">
        <v>46</v>
      </c>
      <c r="H102" s="50"/>
      <c r="I102" s="46" t="s">
        <v>47</v>
      </c>
      <c r="J102" s="46" t="s">
        <v>48</v>
      </c>
      <c r="K102" s="48"/>
      <c r="L102" s="46" t="s">
        <v>248</v>
      </c>
    </row>
    <row r="103" customFormat="false" ht="18" hidden="false" customHeight="true" outlineLevel="0" collapsed="false">
      <c r="A103" s="34" t="n">
        <v>32</v>
      </c>
      <c r="B103" s="35" t="s">
        <v>22</v>
      </c>
      <c r="C103" s="34" t="s">
        <v>194</v>
      </c>
      <c r="D103" s="36" t="s">
        <v>105</v>
      </c>
      <c r="E103" s="36" t="s">
        <v>69</v>
      </c>
      <c r="F103" s="37"/>
      <c r="G103" s="34" t="s">
        <v>46</v>
      </c>
      <c r="H103" s="38"/>
      <c r="I103" s="34" t="s">
        <v>47</v>
      </c>
      <c r="J103" s="34" t="s">
        <v>48</v>
      </c>
      <c r="K103" s="36"/>
      <c r="L103" s="34" t="s">
        <v>249</v>
      </c>
    </row>
    <row r="104" customFormat="false" ht="18" hidden="false" customHeight="true" outlineLevel="0" collapsed="false">
      <c r="A104" s="46" t="n">
        <v>33</v>
      </c>
      <c r="B104" s="47" t="s">
        <v>22</v>
      </c>
      <c r="C104" s="46" t="s">
        <v>194</v>
      </c>
      <c r="D104" s="48" t="s">
        <v>77</v>
      </c>
      <c r="E104" s="48" t="s">
        <v>78</v>
      </c>
      <c r="F104" s="49"/>
      <c r="G104" s="46" t="s">
        <v>46</v>
      </c>
      <c r="H104" s="50"/>
      <c r="I104" s="46" t="s">
        <v>47</v>
      </c>
      <c r="J104" s="46" t="s">
        <v>48</v>
      </c>
      <c r="K104" s="48"/>
      <c r="L104" s="46" t="s">
        <v>250</v>
      </c>
    </row>
    <row r="105" customFormat="false" ht="21.75" hidden="false" customHeight="true" outlineLevel="0" collapsed="false">
      <c r="A105" s="51" t="s">
        <v>251</v>
      </c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</row>
    <row r="106" customFormat="false" ht="18" hidden="false" customHeight="true" outlineLevel="0" collapsed="false">
      <c r="A106" s="52" t="n">
        <v>1</v>
      </c>
      <c r="B106" s="53" t="s">
        <v>23</v>
      </c>
      <c r="C106" s="52" t="s">
        <v>252</v>
      </c>
      <c r="D106" s="54" t="s">
        <v>128</v>
      </c>
      <c r="E106" s="54" t="s">
        <v>253</v>
      </c>
      <c r="F106" s="55"/>
      <c r="G106" s="52" t="s">
        <v>46</v>
      </c>
      <c r="H106" s="56"/>
      <c r="I106" s="52" t="s">
        <v>47</v>
      </c>
      <c r="J106" s="52" t="s">
        <v>48</v>
      </c>
      <c r="K106" s="54"/>
      <c r="L106" s="52" t="s">
        <v>254</v>
      </c>
    </row>
    <row r="107" customFormat="false" ht="18" hidden="false" customHeight="true" outlineLevel="0" collapsed="false">
      <c r="A107" s="34" t="n">
        <v>2</v>
      </c>
      <c r="B107" s="35" t="s">
        <v>23</v>
      </c>
      <c r="C107" s="34" t="s">
        <v>252</v>
      </c>
      <c r="D107" s="36" t="s">
        <v>44</v>
      </c>
      <c r="E107" s="36" t="s">
        <v>255</v>
      </c>
      <c r="F107" s="37"/>
      <c r="G107" s="34" t="s">
        <v>46</v>
      </c>
      <c r="H107" s="38"/>
      <c r="I107" s="34" t="s">
        <v>47</v>
      </c>
      <c r="J107" s="34" t="s">
        <v>48</v>
      </c>
      <c r="K107" s="36"/>
      <c r="L107" s="34" t="s">
        <v>256</v>
      </c>
    </row>
    <row r="108" customFormat="false" ht="18" hidden="false" customHeight="true" outlineLevel="0" collapsed="false">
      <c r="A108" s="52" t="n">
        <v>3</v>
      </c>
      <c r="B108" s="53" t="s">
        <v>23</v>
      </c>
      <c r="C108" s="52" t="s">
        <v>252</v>
      </c>
      <c r="D108" s="54" t="s">
        <v>124</v>
      </c>
      <c r="E108" s="54" t="s">
        <v>45</v>
      </c>
      <c r="F108" s="55"/>
      <c r="G108" s="52" t="s">
        <v>46</v>
      </c>
      <c r="H108" s="56"/>
      <c r="I108" s="52" t="s">
        <v>47</v>
      </c>
      <c r="J108" s="52" t="s">
        <v>48</v>
      </c>
      <c r="K108" s="54"/>
      <c r="L108" s="52" t="s">
        <v>257</v>
      </c>
    </row>
    <row r="109" customFormat="false" ht="18" hidden="false" customHeight="true" outlineLevel="0" collapsed="false">
      <c r="A109" s="34" t="n">
        <v>4</v>
      </c>
      <c r="B109" s="35" t="s">
        <v>23</v>
      </c>
      <c r="C109" s="34" t="s">
        <v>252</v>
      </c>
      <c r="D109" s="36" t="s">
        <v>200</v>
      </c>
      <c r="E109" s="36" t="s">
        <v>258</v>
      </c>
      <c r="F109" s="37"/>
      <c r="G109" s="34" t="s">
        <v>46</v>
      </c>
      <c r="H109" s="38"/>
      <c r="I109" s="34" t="s">
        <v>47</v>
      </c>
      <c r="J109" s="34" t="s">
        <v>48</v>
      </c>
      <c r="K109" s="36"/>
      <c r="L109" s="34" t="s">
        <v>259</v>
      </c>
    </row>
    <row r="110" customFormat="false" ht="18" hidden="false" customHeight="true" outlineLevel="0" collapsed="false">
      <c r="A110" s="52" t="n">
        <v>5</v>
      </c>
      <c r="B110" s="53" t="s">
        <v>23</v>
      </c>
      <c r="C110" s="52" t="s">
        <v>252</v>
      </c>
      <c r="D110" s="54" t="s">
        <v>260</v>
      </c>
      <c r="E110" s="54" t="s">
        <v>261</v>
      </c>
      <c r="F110" s="55"/>
      <c r="G110" s="52" t="s">
        <v>46</v>
      </c>
      <c r="H110" s="56"/>
      <c r="I110" s="52" t="s">
        <v>47</v>
      </c>
      <c r="J110" s="52" t="s">
        <v>48</v>
      </c>
      <c r="K110" s="54"/>
      <c r="L110" s="52" t="s">
        <v>262</v>
      </c>
    </row>
    <row r="111" customFormat="false" ht="18" hidden="false" customHeight="true" outlineLevel="0" collapsed="false">
      <c r="A111" s="34" t="n">
        <v>6</v>
      </c>
      <c r="B111" s="35" t="s">
        <v>23</v>
      </c>
      <c r="C111" s="34" t="s">
        <v>252</v>
      </c>
      <c r="D111" s="36" t="s">
        <v>198</v>
      </c>
      <c r="E111" s="36" t="s">
        <v>118</v>
      </c>
      <c r="F111" s="37"/>
      <c r="G111" s="34" t="s">
        <v>46</v>
      </c>
      <c r="H111" s="38"/>
      <c r="I111" s="34" t="s">
        <v>47</v>
      </c>
      <c r="J111" s="34" t="s">
        <v>48</v>
      </c>
      <c r="K111" s="36"/>
      <c r="L111" s="34" t="s">
        <v>263</v>
      </c>
    </row>
    <row r="112" customFormat="false" ht="18" hidden="false" customHeight="true" outlineLevel="0" collapsed="false">
      <c r="A112" s="52" t="n">
        <v>7</v>
      </c>
      <c r="B112" s="53" t="s">
        <v>23</v>
      </c>
      <c r="C112" s="52" t="s">
        <v>252</v>
      </c>
      <c r="D112" s="54" t="s">
        <v>264</v>
      </c>
      <c r="E112" s="54" t="s">
        <v>64</v>
      </c>
      <c r="F112" s="55"/>
      <c r="G112" s="52" t="s">
        <v>46</v>
      </c>
      <c r="H112" s="56"/>
      <c r="I112" s="52" t="s">
        <v>47</v>
      </c>
      <c r="J112" s="52" t="s">
        <v>48</v>
      </c>
      <c r="K112" s="54"/>
      <c r="L112" s="52" t="s">
        <v>265</v>
      </c>
    </row>
    <row r="113" customFormat="false" ht="18" hidden="false" customHeight="true" outlineLevel="0" collapsed="false">
      <c r="A113" s="34" t="n">
        <v>8</v>
      </c>
      <c r="B113" s="35" t="s">
        <v>23</v>
      </c>
      <c r="C113" s="34" t="s">
        <v>252</v>
      </c>
      <c r="D113" s="36" t="s">
        <v>266</v>
      </c>
      <c r="E113" s="36" t="s">
        <v>56</v>
      </c>
      <c r="F113" s="37"/>
      <c r="G113" s="34" t="s">
        <v>46</v>
      </c>
      <c r="H113" s="38"/>
      <c r="I113" s="34" t="s">
        <v>47</v>
      </c>
      <c r="J113" s="34" t="s">
        <v>48</v>
      </c>
      <c r="K113" s="36"/>
      <c r="L113" s="34" t="s">
        <v>267</v>
      </c>
    </row>
    <row r="114" customFormat="false" ht="18" hidden="false" customHeight="true" outlineLevel="0" collapsed="false">
      <c r="A114" s="52" t="n">
        <v>9</v>
      </c>
      <c r="B114" s="53" t="s">
        <v>23</v>
      </c>
      <c r="C114" s="52" t="s">
        <v>252</v>
      </c>
      <c r="D114" s="54" t="s">
        <v>83</v>
      </c>
      <c r="E114" s="54" t="s">
        <v>268</v>
      </c>
      <c r="F114" s="55"/>
      <c r="G114" s="52" t="s">
        <v>46</v>
      </c>
      <c r="H114" s="56"/>
      <c r="I114" s="52" t="s">
        <v>47</v>
      </c>
      <c r="J114" s="52" t="s">
        <v>48</v>
      </c>
      <c r="K114" s="54"/>
      <c r="L114" s="52" t="s">
        <v>269</v>
      </c>
    </row>
    <row r="115" customFormat="false" ht="18" hidden="false" customHeight="true" outlineLevel="0" collapsed="false">
      <c r="A115" s="34" t="n">
        <v>10</v>
      </c>
      <c r="B115" s="35" t="s">
        <v>23</v>
      </c>
      <c r="C115" s="34" t="s">
        <v>252</v>
      </c>
      <c r="D115" s="36" t="s">
        <v>86</v>
      </c>
      <c r="E115" s="36" t="s">
        <v>87</v>
      </c>
      <c r="F115" s="37"/>
      <c r="G115" s="34" t="s">
        <v>46</v>
      </c>
      <c r="H115" s="38"/>
      <c r="I115" s="34" t="s">
        <v>47</v>
      </c>
      <c r="J115" s="34" t="s">
        <v>48</v>
      </c>
      <c r="K115" s="36"/>
      <c r="L115" s="34" t="s">
        <v>270</v>
      </c>
    </row>
    <row r="116" customFormat="false" ht="18" hidden="false" customHeight="true" outlineLevel="0" collapsed="false">
      <c r="A116" s="52" t="n">
        <v>11</v>
      </c>
      <c r="B116" s="53" t="s">
        <v>23</v>
      </c>
      <c r="C116" s="52" t="s">
        <v>252</v>
      </c>
      <c r="D116" s="54" t="s">
        <v>271</v>
      </c>
      <c r="E116" s="54" t="s">
        <v>90</v>
      </c>
      <c r="F116" s="55"/>
      <c r="G116" s="52" t="s">
        <v>46</v>
      </c>
      <c r="H116" s="56"/>
      <c r="I116" s="52" t="s">
        <v>47</v>
      </c>
      <c r="J116" s="52" t="s">
        <v>48</v>
      </c>
      <c r="K116" s="54"/>
      <c r="L116" s="52" t="s">
        <v>272</v>
      </c>
    </row>
    <row r="117" customFormat="false" ht="18" hidden="false" customHeight="true" outlineLevel="0" collapsed="false">
      <c r="A117" s="34" t="n">
        <v>12</v>
      </c>
      <c r="B117" s="35" t="s">
        <v>23</v>
      </c>
      <c r="C117" s="34" t="s">
        <v>252</v>
      </c>
      <c r="D117" s="36" t="s">
        <v>210</v>
      </c>
      <c r="E117" s="36" t="s">
        <v>72</v>
      </c>
      <c r="F117" s="37"/>
      <c r="G117" s="34" t="s">
        <v>46</v>
      </c>
      <c r="H117" s="38"/>
      <c r="I117" s="34" t="s">
        <v>47</v>
      </c>
      <c r="J117" s="34" t="s">
        <v>48</v>
      </c>
      <c r="K117" s="36"/>
      <c r="L117" s="34" t="s">
        <v>273</v>
      </c>
    </row>
    <row r="118" customFormat="false" ht="18" hidden="false" customHeight="true" outlineLevel="0" collapsed="false">
      <c r="A118" s="52" t="n">
        <v>13</v>
      </c>
      <c r="B118" s="53" t="s">
        <v>23</v>
      </c>
      <c r="C118" s="52" t="s">
        <v>252</v>
      </c>
      <c r="D118" s="54" t="s">
        <v>151</v>
      </c>
      <c r="E118" s="54" t="s">
        <v>75</v>
      </c>
      <c r="F118" s="55"/>
      <c r="G118" s="52" t="s">
        <v>46</v>
      </c>
      <c r="H118" s="56"/>
      <c r="I118" s="52" t="s">
        <v>47</v>
      </c>
      <c r="J118" s="52" t="s">
        <v>48</v>
      </c>
      <c r="K118" s="54"/>
      <c r="L118" s="52" t="s">
        <v>274</v>
      </c>
    </row>
    <row r="119" customFormat="false" ht="18" hidden="false" customHeight="true" outlineLevel="0" collapsed="false">
      <c r="A119" s="34" t="n">
        <v>14</v>
      </c>
      <c r="B119" s="35" t="s">
        <v>23</v>
      </c>
      <c r="C119" s="34" t="s">
        <v>252</v>
      </c>
      <c r="D119" s="36" t="s">
        <v>89</v>
      </c>
      <c r="E119" s="36" t="s">
        <v>154</v>
      </c>
      <c r="F119" s="37"/>
      <c r="G119" s="34" t="s">
        <v>46</v>
      </c>
      <c r="H119" s="38"/>
      <c r="I119" s="34" t="s">
        <v>47</v>
      </c>
      <c r="J119" s="34" t="s">
        <v>48</v>
      </c>
      <c r="K119" s="36"/>
      <c r="L119" s="34" t="s">
        <v>275</v>
      </c>
    </row>
    <row r="120" customFormat="false" ht="18" hidden="false" customHeight="true" outlineLevel="0" collapsed="false">
      <c r="A120" s="52" t="n">
        <v>15</v>
      </c>
      <c r="B120" s="53" t="s">
        <v>23</v>
      </c>
      <c r="C120" s="52" t="s">
        <v>252</v>
      </c>
      <c r="D120" s="54" t="s">
        <v>141</v>
      </c>
      <c r="E120" s="54" t="s">
        <v>152</v>
      </c>
      <c r="F120" s="55"/>
      <c r="G120" s="52" t="s">
        <v>46</v>
      </c>
      <c r="H120" s="56"/>
      <c r="I120" s="52" t="s">
        <v>47</v>
      </c>
      <c r="J120" s="52" t="s">
        <v>48</v>
      </c>
      <c r="K120" s="54"/>
      <c r="L120" s="52" t="s">
        <v>276</v>
      </c>
    </row>
    <row r="121" customFormat="false" ht="18" hidden="false" customHeight="true" outlineLevel="0" collapsed="false">
      <c r="A121" s="34" t="n">
        <v>16</v>
      </c>
      <c r="B121" s="35" t="s">
        <v>23</v>
      </c>
      <c r="C121" s="34" t="s">
        <v>252</v>
      </c>
      <c r="D121" s="36" t="s">
        <v>163</v>
      </c>
      <c r="E121" s="36" t="s">
        <v>277</v>
      </c>
      <c r="F121" s="37"/>
      <c r="G121" s="34" t="s">
        <v>46</v>
      </c>
      <c r="H121" s="38"/>
      <c r="I121" s="34" t="s">
        <v>47</v>
      </c>
      <c r="J121" s="34" t="s">
        <v>48</v>
      </c>
      <c r="K121" s="36"/>
      <c r="L121" s="34" t="s">
        <v>278</v>
      </c>
    </row>
    <row r="122" customFormat="false" ht="18" hidden="false" customHeight="true" outlineLevel="0" collapsed="false">
      <c r="A122" s="52" t="n">
        <v>17</v>
      </c>
      <c r="B122" s="53" t="s">
        <v>23</v>
      </c>
      <c r="C122" s="52" t="s">
        <v>252</v>
      </c>
      <c r="D122" s="54" t="s">
        <v>66</v>
      </c>
      <c r="E122" s="54" t="s">
        <v>72</v>
      </c>
      <c r="F122" s="55"/>
      <c r="G122" s="52" t="s">
        <v>46</v>
      </c>
      <c r="H122" s="56"/>
      <c r="I122" s="52" t="s">
        <v>47</v>
      </c>
      <c r="J122" s="52" t="s">
        <v>48</v>
      </c>
      <c r="K122" s="54"/>
      <c r="L122" s="52" t="s">
        <v>279</v>
      </c>
    </row>
    <row r="123" customFormat="false" ht="18" hidden="false" customHeight="true" outlineLevel="0" collapsed="false">
      <c r="A123" s="34" t="n">
        <v>18</v>
      </c>
      <c r="B123" s="35" t="s">
        <v>23</v>
      </c>
      <c r="C123" s="34" t="s">
        <v>252</v>
      </c>
      <c r="D123" s="36" t="s">
        <v>63</v>
      </c>
      <c r="E123" s="36" t="s">
        <v>174</v>
      </c>
      <c r="F123" s="37"/>
      <c r="G123" s="34" t="s">
        <v>46</v>
      </c>
      <c r="H123" s="38"/>
      <c r="I123" s="34" t="s">
        <v>47</v>
      </c>
      <c r="J123" s="34" t="s">
        <v>48</v>
      </c>
      <c r="K123" s="36"/>
      <c r="L123" s="34" t="s">
        <v>280</v>
      </c>
    </row>
    <row r="124" customFormat="false" ht="18" hidden="false" customHeight="true" outlineLevel="0" collapsed="false">
      <c r="A124" s="52" t="n">
        <v>19</v>
      </c>
      <c r="B124" s="53" t="s">
        <v>23</v>
      </c>
      <c r="C124" s="52" t="s">
        <v>252</v>
      </c>
      <c r="D124" s="54" t="s">
        <v>148</v>
      </c>
      <c r="E124" s="54" t="s">
        <v>166</v>
      </c>
      <c r="F124" s="55"/>
      <c r="G124" s="52" t="s">
        <v>46</v>
      </c>
      <c r="H124" s="56"/>
      <c r="I124" s="52" t="s">
        <v>47</v>
      </c>
      <c r="J124" s="52" t="s">
        <v>48</v>
      </c>
      <c r="K124" s="54"/>
      <c r="L124" s="52" t="s">
        <v>281</v>
      </c>
    </row>
    <row r="125" customFormat="false" ht="18" hidden="false" customHeight="true" outlineLevel="0" collapsed="false">
      <c r="A125" s="34" t="n">
        <v>20</v>
      </c>
      <c r="B125" s="35" t="s">
        <v>23</v>
      </c>
      <c r="C125" s="34" t="s">
        <v>252</v>
      </c>
      <c r="D125" s="36" t="s">
        <v>71</v>
      </c>
      <c r="E125" s="36" t="s">
        <v>87</v>
      </c>
      <c r="F125" s="37"/>
      <c r="G125" s="34" t="s">
        <v>46</v>
      </c>
      <c r="H125" s="38"/>
      <c r="I125" s="34" t="s">
        <v>47</v>
      </c>
      <c r="J125" s="34" t="s">
        <v>48</v>
      </c>
      <c r="K125" s="36"/>
      <c r="L125" s="34" t="s">
        <v>282</v>
      </c>
    </row>
    <row r="126" customFormat="false" ht="18" hidden="false" customHeight="true" outlineLevel="0" collapsed="false">
      <c r="A126" s="52" t="n">
        <v>21</v>
      </c>
      <c r="B126" s="53" t="s">
        <v>23</v>
      </c>
      <c r="C126" s="52" t="s">
        <v>252</v>
      </c>
      <c r="D126" s="54" t="s">
        <v>283</v>
      </c>
      <c r="E126" s="54" t="s">
        <v>169</v>
      </c>
      <c r="F126" s="55"/>
      <c r="G126" s="52" t="s">
        <v>46</v>
      </c>
      <c r="H126" s="56"/>
      <c r="I126" s="52" t="s">
        <v>47</v>
      </c>
      <c r="J126" s="52" t="s">
        <v>48</v>
      </c>
      <c r="K126" s="54"/>
      <c r="L126" s="52" t="s">
        <v>284</v>
      </c>
    </row>
    <row r="127" customFormat="false" ht="18" hidden="false" customHeight="true" outlineLevel="0" collapsed="false">
      <c r="A127" s="34" t="n">
        <v>22</v>
      </c>
      <c r="B127" s="35" t="s">
        <v>23</v>
      </c>
      <c r="C127" s="34" t="s">
        <v>252</v>
      </c>
      <c r="D127" s="36" t="s">
        <v>156</v>
      </c>
      <c r="E127" s="36" t="s">
        <v>101</v>
      </c>
      <c r="F127" s="37"/>
      <c r="G127" s="34" t="s">
        <v>46</v>
      </c>
      <c r="H127" s="38"/>
      <c r="I127" s="34" t="s">
        <v>47</v>
      </c>
      <c r="J127" s="34" t="s">
        <v>48</v>
      </c>
      <c r="K127" s="36"/>
      <c r="L127" s="34" t="s">
        <v>285</v>
      </c>
    </row>
    <row r="128" customFormat="false" ht="18" hidden="false" customHeight="true" outlineLevel="0" collapsed="false">
      <c r="A128" s="52" t="n">
        <v>23</v>
      </c>
      <c r="B128" s="53" t="s">
        <v>23</v>
      </c>
      <c r="C128" s="52" t="s">
        <v>252</v>
      </c>
      <c r="D128" s="54" t="s">
        <v>92</v>
      </c>
      <c r="E128" s="54" t="s">
        <v>109</v>
      </c>
      <c r="F128" s="55"/>
      <c r="G128" s="52" t="s">
        <v>46</v>
      </c>
      <c r="H128" s="56"/>
      <c r="I128" s="52" t="s">
        <v>47</v>
      </c>
      <c r="J128" s="52" t="s">
        <v>48</v>
      </c>
      <c r="K128" s="54"/>
      <c r="L128" s="52" t="s">
        <v>286</v>
      </c>
    </row>
    <row r="129" customFormat="false" ht="18" hidden="false" customHeight="true" outlineLevel="0" collapsed="false">
      <c r="A129" s="34" t="n">
        <v>24</v>
      </c>
      <c r="B129" s="35" t="s">
        <v>23</v>
      </c>
      <c r="C129" s="34" t="s">
        <v>252</v>
      </c>
      <c r="D129" s="36" t="s">
        <v>159</v>
      </c>
      <c r="E129" s="36" t="s">
        <v>180</v>
      </c>
      <c r="F129" s="37"/>
      <c r="G129" s="34" t="s">
        <v>46</v>
      </c>
      <c r="H129" s="38"/>
      <c r="I129" s="34" t="s">
        <v>47</v>
      </c>
      <c r="J129" s="34" t="s">
        <v>48</v>
      </c>
      <c r="K129" s="36"/>
      <c r="L129" s="34" t="s">
        <v>287</v>
      </c>
    </row>
    <row r="130" customFormat="false" ht="18" hidden="false" customHeight="true" outlineLevel="0" collapsed="false">
      <c r="A130" s="52" t="n">
        <v>25</v>
      </c>
      <c r="B130" s="53" t="s">
        <v>23</v>
      </c>
      <c r="C130" s="52" t="s">
        <v>252</v>
      </c>
      <c r="D130" s="54" t="s">
        <v>115</v>
      </c>
      <c r="E130" s="54" t="s">
        <v>106</v>
      </c>
      <c r="F130" s="55"/>
      <c r="G130" s="52" t="s">
        <v>46</v>
      </c>
      <c r="H130" s="56"/>
      <c r="I130" s="52" t="s">
        <v>47</v>
      </c>
      <c r="J130" s="52" t="s">
        <v>48</v>
      </c>
      <c r="K130" s="54"/>
      <c r="L130" s="52" t="s">
        <v>288</v>
      </c>
    </row>
    <row r="131" customFormat="false" ht="18" hidden="false" customHeight="true" outlineLevel="0" collapsed="false">
      <c r="A131" s="34" t="n">
        <v>26</v>
      </c>
      <c r="B131" s="35" t="s">
        <v>23</v>
      </c>
      <c r="C131" s="34" t="s">
        <v>252</v>
      </c>
      <c r="D131" s="36" t="s">
        <v>108</v>
      </c>
      <c r="E131" s="36" t="s">
        <v>84</v>
      </c>
      <c r="F131" s="37"/>
      <c r="G131" s="34" t="s">
        <v>46</v>
      </c>
      <c r="H131" s="38"/>
      <c r="I131" s="34" t="s">
        <v>47</v>
      </c>
      <c r="J131" s="34" t="s">
        <v>48</v>
      </c>
      <c r="K131" s="36"/>
      <c r="L131" s="34" t="s">
        <v>289</v>
      </c>
    </row>
    <row r="132" customFormat="false" ht="18" hidden="false" customHeight="true" outlineLevel="0" collapsed="false">
      <c r="A132" s="52" t="n">
        <v>27</v>
      </c>
      <c r="B132" s="53" t="s">
        <v>23</v>
      </c>
      <c r="C132" s="52" t="s">
        <v>252</v>
      </c>
      <c r="D132" s="54" t="s">
        <v>58</v>
      </c>
      <c r="E132" s="54" t="s">
        <v>69</v>
      </c>
      <c r="F132" s="55"/>
      <c r="G132" s="52" t="s">
        <v>46</v>
      </c>
      <c r="H132" s="56"/>
      <c r="I132" s="52" t="s">
        <v>47</v>
      </c>
      <c r="J132" s="52" t="s">
        <v>48</v>
      </c>
      <c r="K132" s="54"/>
      <c r="L132" s="52" t="s">
        <v>290</v>
      </c>
    </row>
    <row r="133" customFormat="false" ht="18" hidden="false" customHeight="true" outlineLevel="0" collapsed="false">
      <c r="A133" s="34" t="n">
        <v>28</v>
      </c>
      <c r="B133" s="35" t="s">
        <v>23</v>
      </c>
      <c r="C133" s="34" t="s">
        <v>252</v>
      </c>
      <c r="D133" s="36" t="s">
        <v>74</v>
      </c>
      <c r="E133" s="36" t="s">
        <v>188</v>
      </c>
      <c r="F133" s="37"/>
      <c r="G133" s="34" t="s">
        <v>46</v>
      </c>
      <c r="H133" s="38"/>
      <c r="I133" s="34" t="s">
        <v>47</v>
      </c>
      <c r="J133" s="34" t="s">
        <v>48</v>
      </c>
      <c r="K133" s="36"/>
      <c r="L133" s="34" t="s">
        <v>291</v>
      </c>
    </row>
    <row r="134" customFormat="false" ht="18" hidden="false" customHeight="true" outlineLevel="0" collapsed="false">
      <c r="A134" s="52" t="n">
        <v>29</v>
      </c>
      <c r="B134" s="53" t="s">
        <v>23</v>
      </c>
      <c r="C134" s="52" t="s">
        <v>252</v>
      </c>
      <c r="D134" s="54" t="s">
        <v>173</v>
      </c>
      <c r="E134" s="54" t="s">
        <v>292</v>
      </c>
      <c r="F134" s="55"/>
      <c r="G134" s="52" t="s">
        <v>46</v>
      </c>
      <c r="H134" s="56"/>
      <c r="I134" s="52" t="s">
        <v>47</v>
      </c>
      <c r="J134" s="52" t="s">
        <v>48</v>
      </c>
      <c r="K134" s="54"/>
      <c r="L134" s="52" t="s">
        <v>293</v>
      </c>
    </row>
    <row r="135" customFormat="false" ht="18" hidden="false" customHeight="true" outlineLevel="0" collapsed="false">
      <c r="A135" s="34" t="n">
        <v>30</v>
      </c>
      <c r="B135" s="35" t="s">
        <v>23</v>
      </c>
      <c r="C135" s="34" t="s">
        <v>252</v>
      </c>
      <c r="D135" s="36" t="s">
        <v>95</v>
      </c>
      <c r="E135" s="36" t="s">
        <v>294</v>
      </c>
      <c r="F135" s="37"/>
      <c r="G135" s="34" t="s">
        <v>46</v>
      </c>
      <c r="H135" s="38"/>
      <c r="I135" s="34" t="s">
        <v>47</v>
      </c>
      <c r="J135" s="34" t="s">
        <v>48</v>
      </c>
      <c r="K135" s="36"/>
      <c r="L135" s="34" t="s">
        <v>295</v>
      </c>
    </row>
    <row r="136" customFormat="false" ht="18" hidden="false" customHeight="true" outlineLevel="0" collapsed="false">
      <c r="A136" s="52" t="n">
        <v>31</v>
      </c>
      <c r="B136" s="53" t="s">
        <v>23</v>
      </c>
      <c r="C136" s="52" t="s">
        <v>252</v>
      </c>
      <c r="D136" s="54" t="s">
        <v>183</v>
      </c>
      <c r="E136" s="54" t="s">
        <v>78</v>
      </c>
      <c r="F136" s="55"/>
      <c r="G136" s="52" t="s">
        <v>46</v>
      </c>
      <c r="H136" s="56"/>
      <c r="I136" s="52" t="s">
        <v>47</v>
      </c>
      <c r="J136" s="52" t="s">
        <v>48</v>
      </c>
      <c r="K136" s="54"/>
      <c r="L136" s="52" t="s">
        <v>296</v>
      </c>
    </row>
    <row r="137" customFormat="false" ht="18" hidden="false" customHeight="true" outlineLevel="0" collapsed="false">
      <c r="A137" s="34" t="n">
        <v>32</v>
      </c>
      <c r="B137" s="35" t="s">
        <v>23</v>
      </c>
      <c r="C137" s="34" t="s">
        <v>252</v>
      </c>
      <c r="D137" s="36" t="s">
        <v>111</v>
      </c>
      <c r="E137" s="36" t="s">
        <v>297</v>
      </c>
      <c r="F137" s="37"/>
      <c r="G137" s="34" t="s">
        <v>46</v>
      </c>
      <c r="H137" s="38"/>
      <c r="I137" s="34" t="s">
        <v>47</v>
      </c>
      <c r="J137" s="34" t="s">
        <v>48</v>
      </c>
      <c r="K137" s="36"/>
      <c r="L137" s="34" t="s">
        <v>298</v>
      </c>
    </row>
    <row r="138" customFormat="false" ht="18" hidden="false" customHeight="true" outlineLevel="0" collapsed="false">
      <c r="A138" s="52" t="n">
        <v>33</v>
      </c>
      <c r="B138" s="53" t="s">
        <v>23</v>
      </c>
      <c r="C138" s="52" t="s">
        <v>252</v>
      </c>
      <c r="D138" s="54" t="s">
        <v>186</v>
      </c>
      <c r="E138" s="54" t="s">
        <v>109</v>
      </c>
      <c r="F138" s="55"/>
      <c r="G138" s="52" t="s">
        <v>46</v>
      </c>
      <c r="H138" s="56"/>
      <c r="I138" s="52" t="s">
        <v>47</v>
      </c>
      <c r="J138" s="52" t="s">
        <v>48</v>
      </c>
      <c r="K138" s="54"/>
      <c r="L138" s="52" t="s">
        <v>299</v>
      </c>
    </row>
    <row r="139" customFormat="false" ht="18" hidden="false" customHeight="true" outlineLevel="0" collapsed="false">
      <c r="A139" s="34" t="n">
        <v>34</v>
      </c>
      <c r="B139" s="35" t="s">
        <v>23</v>
      </c>
      <c r="C139" s="34" t="s">
        <v>252</v>
      </c>
      <c r="D139" s="36" t="s">
        <v>178</v>
      </c>
      <c r="E139" s="36" t="s">
        <v>72</v>
      </c>
      <c r="F139" s="37"/>
      <c r="G139" s="34" t="s">
        <v>46</v>
      </c>
      <c r="H139" s="38"/>
      <c r="I139" s="34" t="s">
        <v>47</v>
      </c>
      <c r="J139" s="34" t="s">
        <v>48</v>
      </c>
      <c r="K139" s="36"/>
      <c r="L139" s="34" t="s">
        <v>300</v>
      </c>
    </row>
    <row r="140" customFormat="false" ht="18" hidden="false" customHeight="true" outlineLevel="0" collapsed="false">
      <c r="A140" s="52" t="n">
        <v>35</v>
      </c>
      <c r="B140" s="53" t="s">
        <v>23</v>
      </c>
      <c r="C140" s="52" t="s">
        <v>252</v>
      </c>
      <c r="D140" s="54" t="s">
        <v>120</v>
      </c>
      <c r="E140" s="54" t="s">
        <v>106</v>
      </c>
      <c r="F140" s="55"/>
      <c r="G140" s="52" t="s">
        <v>46</v>
      </c>
      <c r="H140" s="56"/>
      <c r="I140" s="52" t="s">
        <v>47</v>
      </c>
      <c r="J140" s="52" t="s">
        <v>48</v>
      </c>
      <c r="K140" s="54"/>
      <c r="L140" s="52" t="s">
        <v>301</v>
      </c>
    </row>
    <row r="141" customFormat="false" ht="18" hidden="false" customHeight="true" outlineLevel="0" collapsed="false">
      <c r="A141" s="34" t="n">
        <v>36</v>
      </c>
      <c r="B141" s="35" t="s">
        <v>23</v>
      </c>
      <c r="C141" s="34" t="s">
        <v>252</v>
      </c>
      <c r="D141" s="36" t="s">
        <v>100</v>
      </c>
      <c r="E141" s="36" t="s">
        <v>101</v>
      </c>
      <c r="F141" s="37"/>
      <c r="G141" s="34" t="s">
        <v>46</v>
      </c>
      <c r="H141" s="38"/>
      <c r="I141" s="34" t="s">
        <v>47</v>
      </c>
      <c r="J141" s="34" t="s">
        <v>48</v>
      </c>
      <c r="K141" s="36"/>
      <c r="L141" s="34" t="s">
        <v>302</v>
      </c>
    </row>
    <row r="142" customFormat="false" ht="18" hidden="false" customHeight="true" outlineLevel="0" collapsed="false">
      <c r="A142" s="52" t="n">
        <v>37</v>
      </c>
      <c r="B142" s="53" t="s">
        <v>23</v>
      </c>
      <c r="C142" s="52" t="s">
        <v>252</v>
      </c>
      <c r="D142" s="54" t="s">
        <v>103</v>
      </c>
      <c r="E142" s="54" t="s">
        <v>84</v>
      </c>
      <c r="F142" s="55"/>
      <c r="G142" s="52" t="s">
        <v>46</v>
      </c>
      <c r="H142" s="56"/>
      <c r="I142" s="52" t="s">
        <v>47</v>
      </c>
      <c r="J142" s="52" t="s">
        <v>48</v>
      </c>
      <c r="K142" s="54"/>
      <c r="L142" s="52" t="s">
        <v>303</v>
      </c>
    </row>
    <row r="143" customFormat="false" ht="18" hidden="false" customHeight="true" outlineLevel="0" collapsed="false">
      <c r="A143" s="34" t="n">
        <v>38</v>
      </c>
      <c r="B143" s="35" t="s">
        <v>23</v>
      </c>
      <c r="C143" s="34" t="s">
        <v>252</v>
      </c>
      <c r="D143" s="36" t="s">
        <v>105</v>
      </c>
      <c r="E143" s="36" t="s">
        <v>69</v>
      </c>
      <c r="F143" s="37"/>
      <c r="G143" s="34" t="s">
        <v>46</v>
      </c>
      <c r="H143" s="38"/>
      <c r="I143" s="34" t="s">
        <v>47</v>
      </c>
      <c r="J143" s="34" t="s">
        <v>48</v>
      </c>
      <c r="K143" s="36"/>
      <c r="L143" s="34" t="s">
        <v>304</v>
      </c>
    </row>
    <row r="144" customFormat="false" ht="18" hidden="false" customHeight="true" outlineLevel="0" collapsed="false">
      <c r="A144" s="52" t="n">
        <v>39</v>
      </c>
      <c r="B144" s="53" t="s">
        <v>23</v>
      </c>
      <c r="C144" s="52" t="s">
        <v>252</v>
      </c>
      <c r="D144" s="54" t="s">
        <v>305</v>
      </c>
      <c r="E144" s="54" t="s">
        <v>96</v>
      </c>
      <c r="F144" s="55"/>
      <c r="G144" s="52" t="s">
        <v>46</v>
      </c>
      <c r="H144" s="56"/>
      <c r="I144" s="52" t="s">
        <v>47</v>
      </c>
      <c r="J144" s="52" t="s">
        <v>48</v>
      </c>
      <c r="K144" s="54"/>
      <c r="L144" s="52" t="s">
        <v>306</v>
      </c>
    </row>
    <row r="145" customFormat="false" ht="18" hidden="false" customHeight="true" outlineLevel="0" collapsed="false">
      <c r="A145" s="34" t="n">
        <v>40</v>
      </c>
      <c r="B145" s="35" t="s">
        <v>23</v>
      </c>
      <c r="C145" s="34" t="s">
        <v>252</v>
      </c>
      <c r="D145" s="36" t="s">
        <v>307</v>
      </c>
      <c r="E145" s="36" t="s">
        <v>294</v>
      </c>
      <c r="F145" s="37"/>
      <c r="G145" s="34" t="s">
        <v>46</v>
      </c>
      <c r="H145" s="38"/>
      <c r="I145" s="34" t="s">
        <v>47</v>
      </c>
      <c r="J145" s="34" t="s">
        <v>48</v>
      </c>
      <c r="K145" s="36"/>
      <c r="L145" s="34" t="s">
        <v>308</v>
      </c>
    </row>
    <row r="146" customFormat="false" ht="18" hidden="false" customHeight="true" outlineLevel="0" collapsed="false">
      <c r="A146" s="52" t="n">
        <v>41</v>
      </c>
      <c r="B146" s="53" t="s">
        <v>23</v>
      </c>
      <c r="C146" s="52" t="s">
        <v>252</v>
      </c>
      <c r="D146" s="54" t="s">
        <v>309</v>
      </c>
      <c r="E146" s="54" t="s">
        <v>78</v>
      </c>
      <c r="F146" s="55"/>
      <c r="G146" s="52" t="s">
        <v>46</v>
      </c>
      <c r="H146" s="56"/>
      <c r="I146" s="52" t="s">
        <v>47</v>
      </c>
      <c r="J146" s="52" t="s">
        <v>48</v>
      </c>
      <c r="K146" s="54"/>
      <c r="L146" s="52" t="s">
        <v>310</v>
      </c>
    </row>
    <row r="147" customFormat="false" ht="18" hidden="false" customHeight="true" outlineLevel="0" collapsed="false">
      <c r="A147" s="34" t="n">
        <v>42</v>
      </c>
      <c r="B147" s="35" t="s">
        <v>23</v>
      </c>
      <c r="C147" s="34" t="s">
        <v>252</v>
      </c>
      <c r="D147" s="36" t="s">
        <v>283</v>
      </c>
      <c r="E147" s="36" t="s">
        <v>96</v>
      </c>
      <c r="F147" s="37"/>
      <c r="G147" s="34" t="s">
        <v>46</v>
      </c>
      <c r="H147" s="38"/>
      <c r="I147" s="34" t="s">
        <v>47</v>
      </c>
      <c r="J147" s="34" t="s">
        <v>48</v>
      </c>
      <c r="K147" s="36"/>
      <c r="L147" s="34" t="s">
        <v>311</v>
      </c>
    </row>
    <row r="148" customFormat="false" ht="18" hidden="false" customHeight="true" outlineLevel="0" collapsed="false">
      <c r="A148" s="52" t="n">
        <v>43</v>
      </c>
      <c r="B148" s="53" t="s">
        <v>23</v>
      </c>
      <c r="C148" s="52" t="s">
        <v>252</v>
      </c>
      <c r="D148" s="54" t="s">
        <v>312</v>
      </c>
      <c r="E148" s="54" t="s">
        <v>87</v>
      </c>
      <c r="F148" s="55"/>
      <c r="G148" s="52" t="s">
        <v>46</v>
      </c>
      <c r="H148" s="56"/>
      <c r="I148" s="52" t="s">
        <v>47</v>
      </c>
      <c r="J148" s="52" t="s">
        <v>48</v>
      </c>
      <c r="K148" s="54"/>
      <c r="L148" s="52" t="s">
        <v>313</v>
      </c>
    </row>
    <row r="149" customFormat="false" ht="21.75" hidden="false" customHeight="true" outlineLevel="0" collapsed="false">
      <c r="A149" s="57" t="s">
        <v>314</v>
      </c>
      <c r="B149" s="57"/>
      <c r="C149" s="57"/>
      <c r="D149" s="57"/>
      <c r="E149" s="57"/>
      <c r="F149" s="57"/>
      <c r="G149" s="57"/>
      <c r="H149" s="57"/>
      <c r="I149" s="57"/>
      <c r="J149" s="57"/>
      <c r="K149" s="57"/>
      <c r="L149" s="57"/>
    </row>
    <row r="150" customFormat="false" ht="18" hidden="false" customHeight="true" outlineLevel="0" collapsed="false">
      <c r="A150" s="58" t="n">
        <v>1</v>
      </c>
      <c r="B150" s="59" t="s">
        <v>24</v>
      </c>
      <c r="C150" s="58" t="s">
        <v>315</v>
      </c>
      <c r="D150" s="60" t="s">
        <v>44</v>
      </c>
      <c r="E150" s="60" t="s">
        <v>45</v>
      </c>
      <c r="F150" s="61"/>
      <c r="G150" s="58" t="s">
        <v>46</v>
      </c>
      <c r="H150" s="62"/>
      <c r="I150" s="58" t="s">
        <v>47</v>
      </c>
      <c r="J150" s="58" t="s">
        <v>48</v>
      </c>
      <c r="K150" s="60"/>
      <c r="L150" s="58" t="s">
        <v>316</v>
      </c>
    </row>
    <row r="151" customFormat="false" ht="18" hidden="false" customHeight="true" outlineLevel="0" collapsed="false">
      <c r="A151" s="34" t="n">
        <v>2</v>
      </c>
      <c r="B151" s="35" t="s">
        <v>24</v>
      </c>
      <c r="C151" s="34" t="s">
        <v>315</v>
      </c>
      <c r="D151" s="36" t="s">
        <v>50</v>
      </c>
      <c r="E151" s="36" t="s">
        <v>51</v>
      </c>
      <c r="F151" s="37"/>
      <c r="G151" s="34" t="s">
        <v>46</v>
      </c>
      <c r="H151" s="38"/>
      <c r="I151" s="34" t="s">
        <v>47</v>
      </c>
      <c r="J151" s="34" t="s">
        <v>48</v>
      </c>
      <c r="K151" s="36"/>
      <c r="L151" s="34" t="s">
        <v>317</v>
      </c>
    </row>
    <row r="152" customFormat="false" ht="18" hidden="false" customHeight="true" outlineLevel="0" collapsed="false">
      <c r="A152" s="58" t="n">
        <v>3</v>
      </c>
      <c r="B152" s="59" t="s">
        <v>24</v>
      </c>
      <c r="C152" s="58" t="s">
        <v>315</v>
      </c>
      <c r="D152" s="60" t="s">
        <v>53</v>
      </c>
      <c r="E152" s="60" t="s">
        <v>51</v>
      </c>
      <c r="F152" s="61"/>
      <c r="G152" s="58" t="s">
        <v>46</v>
      </c>
      <c r="H152" s="62"/>
      <c r="I152" s="58" t="s">
        <v>47</v>
      </c>
      <c r="J152" s="58" t="s">
        <v>48</v>
      </c>
      <c r="K152" s="60"/>
      <c r="L152" s="58" t="s">
        <v>318</v>
      </c>
    </row>
    <row r="153" customFormat="false" ht="18" hidden="false" customHeight="true" outlineLevel="0" collapsed="false">
      <c r="A153" s="34" t="n">
        <v>4</v>
      </c>
      <c r="B153" s="35" t="s">
        <v>24</v>
      </c>
      <c r="C153" s="34" t="s">
        <v>315</v>
      </c>
      <c r="D153" s="36" t="s">
        <v>55</v>
      </c>
      <c r="E153" s="36" t="s">
        <v>56</v>
      </c>
      <c r="F153" s="37"/>
      <c r="G153" s="34" t="s">
        <v>46</v>
      </c>
      <c r="H153" s="38"/>
      <c r="I153" s="34" t="s">
        <v>47</v>
      </c>
      <c r="J153" s="34" t="s">
        <v>48</v>
      </c>
      <c r="K153" s="36"/>
      <c r="L153" s="34" t="s">
        <v>319</v>
      </c>
    </row>
    <row r="154" customFormat="false" ht="18" hidden="false" customHeight="true" outlineLevel="0" collapsed="false">
      <c r="A154" s="58" t="n">
        <v>5</v>
      </c>
      <c r="B154" s="59" t="s">
        <v>24</v>
      </c>
      <c r="C154" s="58" t="s">
        <v>315</v>
      </c>
      <c r="D154" s="60" t="s">
        <v>58</v>
      </c>
      <c r="E154" s="60" t="s">
        <v>59</v>
      </c>
      <c r="F154" s="61"/>
      <c r="G154" s="58" t="s">
        <v>46</v>
      </c>
      <c r="H154" s="62"/>
      <c r="I154" s="58" t="s">
        <v>47</v>
      </c>
      <c r="J154" s="58" t="s">
        <v>48</v>
      </c>
      <c r="K154" s="60"/>
      <c r="L154" s="58" t="s">
        <v>320</v>
      </c>
    </row>
    <row r="155" customFormat="false" ht="18" hidden="false" customHeight="true" outlineLevel="0" collapsed="false">
      <c r="A155" s="34" t="n">
        <v>6</v>
      </c>
      <c r="B155" s="35" t="s">
        <v>24</v>
      </c>
      <c r="C155" s="34" t="s">
        <v>315</v>
      </c>
      <c r="D155" s="36" t="s">
        <v>61</v>
      </c>
      <c r="E155" s="36" t="s">
        <v>59</v>
      </c>
      <c r="F155" s="37"/>
      <c r="G155" s="34" t="s">
        <v>46</v>
      </c>
      <c r="H155" s="38"/>
      <c r="I155" s="34" t="s">
        <v>47</v>
      </c>
      <c r="J155" s="34" t="s">
        <v>48</v>
      </c>
      <c r="K155" s="36"/>
      <c r="L155" s="34" t="s">
        <v>321</v>
      </c>
    </row>
    <row r="156" customFormat="false" ht="18" hidden="false" customHeight="true" outlineLevel="0" collapsed="false">
      <c r="A156" s="58" t="n">
        <v>7</v>
      </c>
      <c r="B156" s="59" t="s">
        <v>24</v>
      </c>
      <c r="C156" s="58" t="s">
        <v>315</v>
      </c>
      <c r="D156" s="60" t="s">
        <v>63</v>
      </c>
      <c r="E156" s="60" t="s">
        <v>64</v>
      </c>
      <c r="F156" s="61"/>
      <c r="G156" s="58" t="s">
        <v>46</v>
      </c>
      <c r="H156" s="62"/>
      <c r="I156" s="58" t="s">
        <v>47</v>
      </c>
      <c r="J156" s="58" t="s">
        <v>48</v>
      </c>
      <c r="K156" s="60"/>
      <c r="L156" s="58" t="s">
        <v>322</v>
      </c>
    </row>
    <row r="157" customFormat="false" ht="18" hidden="false" customHeight="true" outlineLevel="0" collapsed="false">
      <c r="A157" s="34" t="n">
        <v>8</v>
      </c>
      <c r="B157" s="35" t="s">
        <v>24</v>
      </c>
      <c r="C157" s="34" t="s">
        <v>315</v>
      </c>
      <c r="D157" s="36" t="s">
        <v>66</v>
      </c>
      <c r="E157" s="36" t="s">
        <v>64</v>
      </c>
      <c r="F157" s="37"/>
      <c r="G157" s="34" t="s">
        <v>46</v>
      </c>
      <c r="H157" s="38"/>
      <c r="I157" s="34" t="s">
        <v>47</v>
      </c>
      <c r="J157" s="34" t="s">
        <v>48</v>
      </c>
      <c r="K157" s="36"/>
      <c r="L157" s="34" t="s">
        <v>323</v>
      </c>
    </row>
    <row r="158" customFormat="false" ht="18" hidden="false" customHeight="true" outlineLevel="0" collapsed="false">
      <c r="A158" s="58" t="n">
        <v>9</v>
      </c>
      <c r="B158" s="59" t="s">
        <v>24</v>
      </c>
      <c r="C158" s="58" t="s">
        <v>315</v>
      </c>
      <c r="D158" s="60" t="s">
        <v>68</v>
      </c>
      <c r="E158" s="60" t="s">
        <v>69</v>
      </c>
      <c r="F158" s="61"/>
      <c r="G158" s="58" t="s">
        <v>46</v>
      </c>
      <c r="H158" s="62"/>
      <c r="I158" s="58" t="s">
        <v>47</v>
      </c>
      <c r="J158" s="58" t="s">
        <v>48</v>
      </c>
      <c r="K158" s="60"/>
      <c r="L158" s="58" t="s">
        <v>324</v>
      </c>
    </row>
    <row r="159" customFormat="false" ht="18" hidden="false" customHeight="true" outlineLevel="0" collapsed="false">
      <c r="A159" s="34" t="n">
        <v>10</v>
      </c>
      <c r="B159" s="35" t="s">
        <v>24</v>
      </c>
      <c r="C159" s="34" t="s">
        <v>315</v>
      </c>
      <c r="D159" s="36" t="s">
        <v>71</v>
      </c>
      <c r="E159" s="36" t="s">
        <v>72</v>
      </c>
      <c r="F159" s="37"/>
      <c r="G159" s="34" t="s">
        <v>46</v>
      </c>
      <c r="H159" s="38"/>
      <c r="I159" s="34" t="s">
        <v>47</v>
      </c>
      <c r="J159" s="34" t="s">
        <v>48</v>
      </c>
      <c r="K159" s="36"/>
      <c r="L159" s="34" t="s">
        <v>325</v>
      </c>
    </row>
    <row r="160" customFormat="false" ht="18" hidden="false" customHeight="true" outlineLevel="0" collapsed="false">
      <c r="A160" s="58" t="n">
        <v>11</v>
      </c>
      <c r="B160" s="59" t="s">
        <v>24</v>
      </c>
      <c r="C160" s="58" t="s">
        <v>315</v>
      </c>
      <c r="D160" s="60" t="s">
        <v>74</v>
      </c>
      <c r="E160" s="60" t="s">
        <v>75</v>
      </c>
      <c r="F160" s="61"/>
      <c r="G160" s="58" t="s">
        <v>46</v>
      </c>
      <c r="H160" s="62"/>
      <c r="I160" s="58" t="s">
        <v>47</v>
      </c>
      <c r="J160" s="58" t="s">
        <v>48</v>
      </c>
      <c r="K160" s="60"/>
      <c r="L160" s="58" t="s">
        <v>326</v>
      </c>
    </row>
    <row r="161" customFormat="false" ht="18" hidden="false" customHeight="true" outlineLevel="0" collapsed="false">
      <c r="A161" s="34" t="n">
        <v>12</v>
      </c>
      <c r="B161" s="35" t="s">
        <v>24</v>
      </c>
      <c r="C161" s="34" t="s">
        <v>315</v>
      </c>
      <c r="D161" s="36" t="s">
        <v>77</v>
      </c>
      <c r="E161" s="36" t="s">
        <v>78</v>
      </c>
      <c r="F161" s="37"/>
      <c r="G161" s="34" t="s">
        <v>46</v>
      </c>
      <c r="H161" s="38"/>
      <c r="I161" s="34" t="s">
        <v>47</v>
      </c>
      <c r="J161" s="34" t="s">
        <v>48</v>
      </c>
      <c r="K161" s="36"/>
      <c r="L161" s="34" t="s">
        <v>327</v>
      </c>
    </row>
    <row r="162" customFormat="false" ht="18" hidden="false" customHeight="true" outlineLevel="0" collapsed="false">
      <c r="A162" s="58" t="n">
        <v>13</v>
      </c>
      <c r="B162" s="59" t="s">
        <v>24</v>
      </c>
      <c r="C162" s="58" t="s">
        <v>315</v>
      </c>
      <c r="D162" s="60" t="s">
        <v>80</v>
      </c>
      <c r="E162" s="60" t="s">
        <v>81</v>
      </c>
      <c r="F162" s="61"/>
      <c r="G162" s="58" t="s">
        <v>46</v>
      </c>
      <c r="H162" s="62"/>
      <c r="I162" s="58" t="s">
        <v>47</v>
      </c>
      <c r="J162" s="58" t="s">
        <v>48</v>
      </c>
      <c r="K162" s="60"/>
      <c r="L162" s="58" t="s">
        <v>328</v>
      </c>
    </row>
    <row r="163" customFormat="false" ht="18" hidden="false" customHeight="true" outlineLevel="0" collapsed="false">
      <c r="A163" s="34" t="n">
        <v>14</v>
      </c>
      <c r="B163" s="35" t="s">
        <v>24</v>
      </c>
      <c r="C163" s="34" t="s">
        <v>315</v>
      </c>
      <c r="D163" s="36" t="s">
        <v>83</v>
      </c>
      <c r="E163" s="36" t="s">
        <v>84</v>
      </c>
      <c r="F163" s="37"/>
      <c r="G163" s="34" t="s">
        <v>46</v>
      </c>
      <c r="H163" s="38"/>
      <c r="I163" s="34" t="s">
        <v>47</v>
      </c>
      <c r="J163" s="34" t="s">
        <v>48</v>
      </c>
      <c r="K163" s="36"/>
      <c r="L163" s="34" t="s">
        <v>329</v>
      </c>
    </row>
    <row r="164" customFormat="false" ht="18" hidden="false" customHeight="true" outlineLevel="0" collapsed="false">
      <c r="A164" s="58" t="n">
        <v>15</v>
      </c>
      <c r="B164" s="59" t="s">
        <v>24</v>
      </c>
      <c r="C164" s="58" t="s">
        <v>315</v>
      </c>
      <c r="D164" s="60" t="s">
        <v>86</v>
      </c>
      <c r="E164" s="60" t="s">
        <v>87</v>
      </c>
      <c r="F164" s="61"/>
      <c r="G164" s="58" t="s">
        <v>46</v>
      </c>
      <c r="H164" s="62"/>
      <c r="I164" s="58" t="s">
        <v>47</v>
      </c>
      <c r="J164" s="58" t="s">
        <v>48</v>
      </c>
      <c r="K164" s="60"/>
      <c r="L164" s="58" t="s">
        <v>330</v>
      </c>
    </row>
    <row r="165" customFormat="false" ht="18" hidden="false" customHeight="true" outlineLevel="0" collapsed="false">
      <c r="A165" s="34" t="n">
        <v>16</v>
      </c>
      <c r="B165" s="35" t="s">
        <v>24</v>
      </c>
      <c r="C165" s="34" t="s">
        <v>315</v>
      </c>
      <c r="D165" s="36" t="s">
        <v>89</v>
      </c>
      <c r="E165" s="36" t="s">
        <v>90</v>
      </c>
      <c r="F165" s="37"/>
      <c r="G165" s="34" t="s">
        <v>46</v>
      </c>
      <c r="H165" s="38"/>
      <c r="I165" s="34" t="s">
        <v>47</v>
      </c>
      <c r="J165" s="34" t="s">
        <v>48</v>
      </c>
      <c r="K165" s="36"/>
      <c r="L165" s="34" t="s">
        <v>331</v>
      </c>
    </row>
    <row r="166" customFormat="false" ht="18" hidden="false" customHeight="true" outlineLevel="0" collapsed="false">
      <c r="A166" s="58" t="n">
        <v>17</v>
      </c>
      <c r="B166" s="59" t="s">
        <v>24</v>
      </c>
      <c r="C166" s="58" t="s">
        <v>315</v>
      </c>
      <c r="D166" s="60" t="s">
        <v>92</v>
      </c>
      <c r="E166" s="60" t="s">
        <v>93</v>
      </c>
      <c r="F166" s="61"/>
      <c r="G166" s="58" t="s">
        <v>46</v>
      </c>
      <c r="H166" s="62"/>
      <c r="I166" s="58" t="s">
        <v>47</v>
      </c>
      <c r="J166" s="58" t="s">
        <v>48</v>
      </c>
      <c r="K166" s="60"/>
      <c r="L166" s="58" t="s">
        <v>332</v>
      </c>
    </row>
    <row r="167" customFormat="false" ht="18" hidden="false" customHeight="true" outlineLevel="0" collapsed="false">
      <c r="A167" s="34" t="n">
        <v>18</v>
      </c>
      <c r="B167" s="35" t="s">
        <v>24</v>
      </c>
      <c r="C167" s="34" t="s">
        <v>315</v>
      </c>
      <c r="D167" s="36" t="s">
        <v>95</v>
      </c>
      <c r="E167" s="36" t="s">
        <v>96</v>
      </c>
      <c r="F167" s="37"/>
      <c r="G167" s="34" t="s">
        <v>46</v>
      </c>
      <c r="H167" s="38"/>
      <c r="I167" s="34" t="s">
        <v>47</v>
      </c>
      <c r="J167" s="34" t="s">
        <v>48</v>
      </c>
      <c r="K167" s="36"/>
      <c r="L167" s="34" t="s">
        <v>333</v>
      </c>
    </row>
    <row r="168" customFormat="false" ht="18" hidden="false" customHeight="true" outlineLevel="0" collapsed="false">
      <c r="A168" s="58" t="n">
        <v>19</v>
      </c>
      <c r="B168" s="59" t="s">
        <v>24</v>
      </c>
      <c r="C168" s="58" t="s">
        <v>315</v>
      </c>
      <c r="D168" s="60" t="s">
        <v>98</v>
      </c>
      <c r="E168" s="60" t="s">
        <v>69</v>
      </c>
      <c r="F168" s="61"/>
      <c r="G168" s="58" t="s">
        <v>46</v>
      </c>
      <c r="H168" s="62"/>
      <c r="I168" s="58" t="s">
        <v>47</v>
      </c>
      <c r="J168" s="58" t="s">
        <v>48</v>
      </c>
      <c r="K168" s="60"/>
      <c r="L168" s="58" t="s">
        <v>334</v>
      </c>
    </row>
    <row r="169" customFormat="false" ht="18" hidden="false" customHeight="true" outlineLevel="0" collapsed="false">
      <c r="A169" s="34" t="n">
        <v>20</v>
      </c>
      <c r="B169" s="35" t="s">
        <v>24</v>
      </c>
      <c r="C169" s="34" t="s">
        <v>315</v>
      </c>
      <c r="D169" s="36" t="s">
        <v>100</v>
      </c>
      <c r="E169" s="36" t="s">
        <v>101</v>
      </c>
      <c r="F169" s="37"/>
      <c r="G169" s="34" t="s">
        <v>46</v>
      </c>
      <c r="H169" s="38"/>
      <c r="I169" s="34" t="s">
        <v>47</v>
      </c>
      <c r="J169" s="34" t="s">
        <v>48</v>
      </c>
      <c r="K169" s="36"/>
      <c r="L169" s="34" t="s">
        <v>335</v>
      </c>
    </row>
    <row r="170" customFormat="false" ht="18" hidden="false" customHeight="true" outlineLevel="0" collapsed="false">
      <c r="A170" s="58" t="n">
        <v>21</v>
      </c>
      <c r="B170" s="59" t="s">
        <v>24</v>
      </c>
      <c r="C170" s="58" t="s">
        <v>315</v>
      </c>
      <c r="D170" s="60" t="s">
        <v>103</v>
      </c>
      <c r="E170" s="60" t="s">
        <v>84</v>
      </c>
      <c r="F170" s="61"/>
      <c r="G170" s="58" t="s">
        <v>46</v>
      </c>
      <c r="H170" s="62"/>
      <c r="I170" s="58" t="s">
        <v>47</v>
      </c>
      <c r="J170" s="58" t="s">
        <v>48</v>
      </c>
      <c r="K170" s="60"/>
      <c r="L170" s="58" t="s">
        <v>336</v>
      </c>
    </row>
    <row r="171" customFormat="false" ht="18" hidden="false" customHeight="true" outlineLevel="0" collapsed="false">
      <c r="A171" s="34" t="n">
        <v>22</v>
      </c>
      <c r="B171" s="35" t="s">
        <v>24</v>
      </c>
      <c r="C171" s="34" t="s">
        <v>315</v>
      </c>
      <c r="D171" s="36" t="s">
        <v>105</v>
      </c>
      <c r="E171" s="36" t="s">
        <v>106</v>
      </c>
      <c r="F171" s="37"/>
      <c r="G171" s="34" t="s">
        <v>46</v>
      </c>
      <c r="H171" s="38"/>
      <c r="I171" s="34" t="s">
        <v>47</v>
      </c>
      <c r="J171" s="34" t="s">
        <v>48</v>
      </c>
      <c r="K171" s="36"/>
      <c r="L171" s="34" t="s">
        <v>337</v>
      </c>
    </row>
    <row r="172" customFormat="false" ht="18" hidden="false" customHeight="true" outlineLevel="0" collapsed="false">
      <c r="A172" s="58" t="n">
        <v>23</v>
      </c>
      <c r="B172" s="59" t="s">
        <v>24</v>
      </c>
      <c r="C172" s="58" t="s">
        <v>315</v>
      </c>
      <c r="D172" s="60" t="s">
        <v>108</v>
      </c>
      <c r="E172" s="60" t="s">
        <v>109</v>
      </c>
      <c r="F172" s="61"/>
      <c r="G172" s="58" t="s">
        <v>46</v>
      </c>
      <c r="H172" s="62"/>
      <c r="I172" s="58" t="s">
        <v>47</v>
      </c>
      <c r="J172" s="58" t="s">
        <v>48</v>
      </c>
      <c r="K172" s="60"/>
      <c r="L172" s="58" t="s">
        <v>338</v>
      </c>
    </row>
    <row r="173" customFormat="false" ht="18" hidden="false" customHeight="true" outlineLevel="0" collapsed="false">
      <c r="A173" s="34" t="n">
        <v>24</v>
      </c>
      <c r="B173" s="35" t="s">
        <v>24</v>
      </c>
      <c r="C173" s="34" t="s">
        <v>315</v>
      </c>
      <c r="D173" s="36" t="s">
        <v>111</v>
      </c>
      <c r="E173" s="36" t="s">
        <v>96</v>
      </c>
      <c r="F173" s="37"/>
      <c r="G173" s="34" t="s">
        <v>46</v>
      </c>
      <c r="H173" s="38"/>
      <c r="I173" s="34" t="s">
        <v>47</v>
      </c>
      <c r="J173" s="34" t="s">
        <v>48</v>
      </c>
      <c r="K173" s="36"/>
      <c r="L173" s="34" t="s">
        <v>339</v>
      </c>
    </row>
    <row r="174" customFormat="false" ht="18" hidden="false" customHeight="true" outlineLevel="0" collapsed="false">
      <c r="A174" s="58" t="n">
        <v>25</v>
      </c>
      <c r="B174" s="59" t="s">
        <v>24</v>
      </c>
      <c r="C174" s="58" t="s">
        <v>315</v>
      </c>
      <c r="D174" s="60" t="s">
        <v>113</v>
      </c>
      <c r="E174" s="60" t="s">
        <v>96</v>
      </c>
      <c r="F174" s="61"/>
      <c r="G174" s="58" t="s">
        <v>46</v>
      </c>
      <c r="H174" s="62"/>
      <c r="I174" s="58" t="s">
        <v>47</v>
      </c>
      <c r="J174" s="58" t="s">
        <v>48</v>
      </c>
      <c r="K174" s="60"/>
      <c r="L174" s="58" t="s">
        <v>340</v>
      </c>
    </row>
    <row r="175" customFormat="false" ht="18" hidden="false" customHeight="true" outlineLevel="0" collapsed="false">
      <c r="A175" s="34" t="n">
        <v>26</v>
      </c>
      <c r="B175" s="35" t="s">
        <v>24</v>
      </c>
      <c r="C175" s="34" t="s">
        <v>315</v>
      </c>
      <c r="D175" s="36" t="s">
        <v>115</v>
      </c>
      <c r="E175" s="36" t="s">
        <v>96</v>
      </c>
      <c r="F175" s="37"/>
      <c r="G175" s="34" t="s">
        <v>46</v>
      </c>
      <c r="H175" s="38"/>
      <c r="I175" s="34" t="s">
        <v>47</v>
      </c>
      <c r="J175" s="34" t="s">
        <v>48</v>
      </c>
      <c r="K175" s="36"/>
      <c r="L175" s="34" t="s">
        <v>341</v>
      </c>
    </row>
    <row r="176" customFormat="false" ht="18" hidden="false" customHeight="true" outlineLevel="0" collapsed="false">
      <c r="A176" s="58" t="n">
        <v>27</v>
      </c>
      <c r="B176" s="59" t="s">
        <v>24</v>
      </c>
      <c r="C176" s="58" t="s">
        <v>315</v>
      </c>
      <c r="D176" s="60" t="s">
        <v>117</v>
      </c>
      <c r="E176" s="60" t="s">
        <v>118</v>
      </c>
      <c r="F176" s="61"/>
      <c r="G176" s="58" t="s">
        <v>46</v>
      </c>
      <c r="H176" s="62"/>
      <c r="I176" s="58" t="s">
        <v>47</v>
      </c>
      <c r="J176" s="58" t="s">
        <v>48</v>
      </c>
      <c r="K176" s="60"/>
      <c r="L176" s="58" t="s">
        <v>342</v>
      </c>
    </row>
    <row r="177" customFormat="false" ht="18" hidden="false" customHeight="true" outlineLevel="0" collapsed="false">
      <c r="A177" s="34" t="n">
        <v>28</v>
      </c>
      <c r="B177" s="35" t="s">
        <v>24</v>
      </c>
      <c r="C177" s="34" t="s">
        <v>315</v>
      </c>
      <c r="D177" s="36" t="s">
        <v>120</v>
      </c>
      <c r="E177" s="36" t="s">
        <v>106</v>
      </c>
      <c r="F177" s="37"/>
      <c r="G177" s="34" t="s">
        <v>46</v>
      </c>
      <c r="H177" s="38"/>
      <c r="I177" s="34" t="s">
        <v>47</v>
      </c>
      <c r="J177" s="34" t="s">
        <v>48</v>
      </c>
      <c r="K177" s="36"/>
      <c r="L177" s="34" t="s">
        <v>343</v>
      </c>
    </row>
    <row r="178" customFormat="false" ht="18" hidden="false" customHeight="true" outlineLevel="0" collapsed="false">
      <c r="A178" s="58" t="n">
        <v>29</v>
      </c>
      <c r="B178" s="59" t="s">
        <v>24</v>
      </c>
      <c r="C178" s="58" t="s">
        <v>315</v>
      </c>
      <c r="D178" s="60" t="s">
        <v>122</v>
      </c>
      <c r="E178" s="60" t="s">
        <v>51</v>
      </c>
      <c r="F178" s="61"/>
      <c r="G178" s="58" t="s">
        <v>46</v>
      </c>
      <c r="H178" s="62"/>
      <c r="I178" s="58" t="s">
        <v>47</v>
      </c>
      <c r="J178" s="58" t="s">
        <v>48</v>
      </c>
      <c r="K178" s="60"/>
      <c r="L178" s="58" t="s">
        <v>344</v>
      </c>
    </row>
    <row r="179" customFormat="false" ht="18" hidden="false" customHeight="true" outlineLevel="0" collapsed="false">
      <c r="A179" s="34" t="n">
        <v>30</v>
      </c>
      <c r="B179" s="35" t="s">
        <v>24</v>
      </c>
      <c r="C179" s="34" t="s">
        <v>315</v>
      </c>
      <c r="D179" s="36" t="s">
        <v>124</v>
      </c>
      <c r="E179" s="36" t="s">
        <v>96</v>
      </c>
      <c r="F179" s="37"/>
      <c r="G179" s="34" t="s">
        <v>46</v>
      </c>
      <c r="H179" s="38"/>
      <c r="I179" s="34" t="s">
        <v>47</v>
      </c>
      <c r="J179" s="34" t="s">
        <v>48</v>
      </c>
      <c r="K179" s="36"/>
      <c r="L179" s="34" t="s">
        <v>345</v>
      </c>
    </row>
    <row r="180" customFormat="false" ht="21.75" hidden="false" customHeight="true" outlineLevel="0" collapsed="false">
      <c r="A180" s="63" t="s">
        <v>346</v>
      </c>
      <c r="B180" s="63"/>
      <c r="C180" s="63"/>
      <c r="D180" s="63"/>
      <c r="E180" s="63"/>
      <c r="F180" s="63"/>
      <c r="G180" s="63"/>
      <c r="H180" s="63"/>
      <c r="I180" s="63"/>
      <c r="J180" s="63"/>
      <c r="K180" s="63"/>
      <c r="L180" s="63"/>
    </row>
    <row r="181" customFormat="false" ht="18" hidden="false" customHeight="true" outlineLevel="0" collapsed="false">
      <c r="A181" s="64" t="n">
        <v>1</v>
      </c>
      <c r="B181" s="65" t="s">
        <v>25</v>
      </c>
      <c r="C181" s="64" t="s">
        <v>347</v>
      </c>
      <c r="D181" s="66" t="s">
        <v>44</v>
      </c>
      <c r="E181" s="66" t="s">
        <v>348</v>
      </c>
      <c r="F181" s="67"/>
      <c r="G181" s="64" t="s">
        <v>46</v>
      </c>
      <c r="H181" s="68"/>
      <c r="I181" s="64" t="s">
        <v>47</v>
      </c>
      <c r="J181" s="64" t="s">
        <v>48</v>
      </c>
      <c r="K181" s="66"/>
      <c r="L181" s="64" t="s">
        <v>349</v>
      </c>
    </row>
    <row r="182" customFormat="false" ht="18" hidden="false" customHeight="true" outlineLevel="0" collapsed="false">
      <c r="A182" s="34" t="n">
        <v>2</v>
      </c>
      <c r="B182" s="35" t="s">
        <v>25</v>
      </c>
      <c r="C182" s="34" t="s">
        <v>347</v>
      </c>
      <c r="D182" s="36" t="s">
        <v>350</v>
      </c>
      <c r="E182" s="36" t="s">
        <v>351</v>
      </c>
      <c r="F182" s="37"/>
      <c r="G182" s="34" t="s">
        <v>46</v>
      </c>
      <c r="H182" s="38"/>
      <c r="I182" s="34" t="s">
        <v>47</v>
      </c>
      <c r="J182" s="34" t="s">
        <v>48</v>
      </c>
      <c r="K182" s="36"/>
      <c r="L182" s="34" t="s">
        <v>352</v>
      </c>
    </row>
    <row r="183" customFormat="false" ht="18" hidden="false" customHeight="true" outlineLevel="0" collapsed="false">
      <c r="A183" s="64" t="n">
        <v>3</v>
      </c>
      <c r="B183" s="65" t="s">
        <v>25</v>
      </c>
      <c r="C183" s="64" t="s">
        <v>347</v>
      </c>
      <c r="D183" s="66" t="s">
        <v>353</v>
      </c>
      <c r="E183" s="66" t="s">
        <v>354</v>
      </c>
      <c r="F183" s="67"/>
      <c r="G183" s="64" t="s">
        <v>46</v>
      </c>
      <c r="H183" s="68"/>
      <c r="I183" s="64" t="s">
        <v>47</v>
      </c>
      <c r="J183" s="64" t="s">
        <v>48</v>
      </c>
      <c r="K183" s="66"/>
      <c r="L183" s="64" t="s">
        <v>355</v>
      </c>
    </row>
    <row r="184" customFormat="false" ht="18" hidden="false" customHeight="true" outlineLevel="0" collapsed="false">
      <c r="A184" s="34" t="n">
        <v>4</v>
      </c>
      <c r="B184" s="35" t="s">
        <v>25</v>
      </c>
      <c r="C184" s="34" t="s">
        <v>347</v>
      </c>
      <c r="D184" s="36" t="s">
        <v>356</v>
      </c>
      <c r="E184" s="36" t="s">
        <v>357</v>
      </c>
      <c r="F184" s="37"/>
      <c r="G184" s="34" t="s">
        <v>46</v>
      </c>
      <c r="H184" s="38"/>
      <c r="I184" s="34" t="s">
        <v>47</v>
      </c>
      <c r="J184" s="34" t="s">
        <v>48</v>
      </c>
      <c r="K184" s="36"/>
      <c r="L184" s="34" t="s">
        <v>358</v>
      </c>
    </row>
    <row r="185" customFormat="false" ht="18" hidden="false" customHeight="true" outlineLevel="0" collapsed="false">
      <c r="A185" s="64" t="n">
        <v>5</v>
      </c>
      <c r="B185" s="65" t="s">
        <v>25</v>
      </c>
      <c r="C185" s="64" t="s">
        <v>347</v>
      </c>
      <c r="D185" s="66" t="s">
        <v>141</v>
      </c>
      <c r="E185" s="66" t="s">
        <v>359</v>
      </c>
      <c r="F185" s="67"/>
      <c r="G185" s="64" t="s">
        <v>46</v>
      </c>
      <c r="H185" s="68"/>
      <c r="I185" s="64" t="s">
        <v>47</v>
      </c>
      <c r="J185" s="64" t="s">
        <v>48</v>
      </c>
      <c r="K185" s="66"/>
      <c r="L185" s="64" t="s">
        <v>360</v>
      </c>
    </row>
    <row r="186" customFormat="false" ht="18" hidden="false" customHeight="true" outlineLevel="0" collapsed="false">
      <c r="A186" s="34" t="n">
        <v>6</v>
      </c>
      <c r="B186" s="35" t="s">
        <v>25</v>
      </c>
      <c r="C186" s="34" t="s">
        <v>347</v>
      </c>
      <c r="D186" s="36" t="s">
        <v>66</v>
      </c>
      <c r="E186" s="36" t="s">
        <v>361</v>
      </c>
      <c r="F186" s="37"/>
      <c r="G186" s="34" t="s">
        <v>46</v>
      </c>
      <c r="H186" s="38"/>
      <c r="I186" s="34" t="s">
        <v>47</v>
      </c>
      <c r="J186" s="34" t="s">
        <v>48</v>
      </c>
      <c r="K186" s="36"/>
      <c r="L186" s="34" t="s">
        <v>362</v>
      </c>
    </row>
    <row r="187" customFormat="false" ht="18" hidden="false" customHeight="true" outlineLevel="0" collapsed="false">
      <c r="A187" s="64" t="n">
        <v>7</v>
      </c>
      <c r="B187" s="65" t="s">
        <v>25</v>
      </c>
      <c r="C187" s="64" t="s">
        <v>347</v>
      </c>
      <c r="D187" s="66" t="s">
        <v>83</v>
      </c>
      <c r="E187" s="66" t="s">
        <v>118</v>
      </c>
      <c r="F187" s="67"/>
      <c r="G187" s="64" t="s">
        <v>46</v>
      </c>
      <c r="H187" s="68"/>
      <c r="I187" s="64" t="s">
        <v>47</v>
      </c>
      <c r="J187" s="64" t="s">
        <v>48</v>
      </c>
      <c r="K187" s="66"/>
      <c r="L187" s="64" t="s">
        <v>363</v>
      </c>
    </row>
    <row r="188" customFormat="false" ht="18" hidden="false" customHeight="true" outlineLevel="0" collapsed="false">
      <c r="A188" s="34" t="n">
        <v>8</v>
      </c>
      <c r="B188" s="35" t="s">
        <v>25</v>
      </c>
      <c r="C188" s="34" t="s">
        <v>347</v>
      </c>
      <c r="D188" s="36" t="s">
        <v>183</v>
      </c>
      <c r="E188" s="36" t="s">
        <v>364</v>
      </c>
      <c r="F188" s="37"/>
      <c r="G188" s="34" t="s">
        <v>46</v>
      </c>
      <c r="H188" s="38"/>
      <c r="I188" s="34" t="s">
        <v>47</v>
      </c>
      <c r="J188" s="34" t="s">
        <v>48</v>
      </c>
      <c r="K188" s="36"/>
      <c r="L188" s="34" t="s">
        <v>365</v>
      </c>
    </row>
    <row r="189" customFormat="false" ht="18" hidden="false" customHeight="true" outlineLevel="0" collapsed="false">
      <c r="A189" s="64" t="n">
        <v>9</v>
      </c>
      <c r="B189" s="65" t="s">
        <v>25</v>
      </c>
      <c r="C189" s="64" t="s">
        <v>347</v>
      </c>
      <c r="D189" s="66" t="s">
        <v>366</v>
      </c>
      <c r="E189" s="66" t="s">
        <v>367</v>
      </c>
      <c r="F189" s="67"/>
      <c r="G189" s="64" t="s">
        <v>46</v>
      </c>
      <c r="H189" s="68"/>
      <c r="I189" s="64" t="s">
        <v>47</v>
      </c>
      <c r="J189" s="64" t="s">
        <v>48</v>
      </c>
      <c r="K189" s="66"/>
      <c r="L189" s="64" t="s">
        <v>368</v>
      </c>
    </row>
    <row r="190" customFormat="false" ht="18" hidden="false" customHeight="true" outlineLevel="0" collapsed="false">
      <c r="A190" s="34" t="n">
        <v>10</v>
      </c>
      <c r="B190" s="35" t="s">
        <v>25</v>
      </c>
      <c r="C190" s="34" t="s">
        <v>347</v>
      </c>
      <c r="D190" s="36" t="s">
        <v>71</v>
      </c>
      <c r="E190" s="36" t="s">
        <v>72</v>
      </c>
      <c r="F190" s="37"/>
      <c r="G190" s="34" t="s">
        <v>46</v>
      </c>
      <c r="H190" s="38"/>
      <c r="I190" s="34" t="s">
        <v>47</v>
      </c>
      <c r="J190" s="34" t="s">
        <v>48</v>
      </c>
      <c r="K190" s="36"/>
      <c r="L190" s="34" t="s">
        <v>369</v>
      </c>
    </row>
    <row r="191" customFormat="false" ht="18" hidden="false" customHeight="true" outlineLevel="0" collapsed="false">
      <c r="A191" s="64" t="n">
        <v>11</v>
      </c>
      <c r="B191" s="65" t="s">
        <v>25</v>
      </c>
      <c r="C191" s="64" t="s">
        <v>347</v>
      </c>
      <c r="D191" s="66" t="s">
        <v>74</v>
      </c>
      <c r="E191" s="66" t="s">
        <v>75</v>
      </c>
      <c r="F191" s="67"/>
      <c r="G191" s="64" t="s">
        <v>46</v>
      </c>
      <c r="H191" s="68"/>
      <c r="I191" s="64" t="s">
        <v>47</v>
      </c>
      <c r="J191" s="64" t="s">
        <v>48</v>
      </c>
      <c r="K191" s="66"/>
      <c r="L191" s="64" t="s">
        <v>370</v>
      </c>
    </row>
    <row r="192" customFormat="false" ht="18" hidden="false" customHeight="true" outlineLevel="0" collapsed="false">
      <c r="A192" s="34" t="n">
        <v>12</v>
      </c>
      <c r="B192" s="35" t="s">
        <v>25</v>
      </c>
      <c r="C192" s="34" t="s">
        <v>347</v>
      </c>
      <c r="D192" s="36" t="s">
        <v>173</v>
      </c>
      <c r="E192" s="36" t="s">
        <v>78</v>
      </c>
      <c r="F192" s="37"/>
      <c r="G192" s="34" t="s">
        <v>46</v>
      </c>
      <c r="H192" s="38"/>
      <c r="I192" s="34" t="s">
        <v>47</v>
      </c>
      <c r="J192" s="34" t="s">
        <v>48</v>
      </c>
      <c r="K192" s="36"/>
      <c r="L192" s="34" t="s">
        <v>371</v>
      </c>
    </row>
    <row r="193" customFormat="false" ht="18" hidden="false" customHeight="true" outlineLevel="0" collapsed="false">
      <c r="A193" s="64" t="n">
        <v>13</v>
      </c>
      <c r="B193" s="65" t="s">
        <v>25</v>
      </c>
      <c r="C193" s="64" t="s">
        <v>347</v>
      </c>
      <c r="D193" s="66" t="s">
        <v>115</v>
      </c>
      <c r="E193" s="66" t="s">
        <v>372</v>
      </c>
      <c r="F193" s="67"/>
      <c r="G193" s="64" t="s">
        <v>46</v>
      </c>
      <c r="H193" s="68"/>
      <c r="I193" s="64" t="s">
        <v>47</v>
      </c>
      <c r="J193" s="64" t="s">
        <v>48</v>
      </c>
      <c r="K193" s="66"/>
      <c r="L193" s="64" t="s">
        <v>373</v>
      </c>
    </row>
    <row r="194" customFormat="false" ht="18" hidden="false" customHeight="true" outlineLevel="0" collapsed="false">
      <c r="A194" s="34" t="n">
        <v>14</v>
      </c>
      <c r="B194" s="35" t="s">
        <v>25</v>
      </c>
      <c r="C194" s="34" t="s">
        <v>347</v>
      </c>
      <c r="D194" s="36" t="s">
        <v>156</v>
      </c>
      <c r="E194" s="36" t="s">
        <v>69</v>
      </c>
      <c r="F194" s="37"/>
      <c r="G194" s="34" t="s">
        <v>46</v>
      </c>
      <c r="H194" s="38"/>
      <c r="I194" s="34" t="s">
        <v>47</v>
      </c>
      <c r="J194" s="34" t="s">
        <v>48</v>
      </c>
      <c r="K194" s="36"/>
      <c r="L194" s="34" t="s">
        <v>374</v>
      </c>
    </row>
    <row r="195" customFormat="false" ht="18" hidden="false" customHeight="true" outlineLevel="0" collapsed="false">
      <c r="A195" s="64" t="n">
        <v>15</v>
      </c>
      <c r="B195" s="65" t="s">
        <v>25</v>
      </c>
      <c r="C195" s="64" t="s">
        <v>347</v>
      </c>
      <c r="D195" s="66" t="s">
        <v>108</v>
      </c>
      <c r="E195" s="66" t="s">
        <v>109</v>
      </c>
      <c r="F195" s="67"/>
      <c r="G195" s="64" t="s">
        <v>46</v>
      </c>
      <c r="H195" s="68"/>
      <c r="I195" s="64" t="s">
        <v>47</v>
      </c>
      <c r="J195" s="64" t="s">
        <v>48</v>
      </c>
      <c r="K195" s="66"/>
      <c r="L195" s="64" t="s">
        <v>375</v>
      </c>
    </row>
    <row r="196" customFormat="false" ht="18" hidden="false" customHeight="true" outlineLevel="0" collapsed="false">
      <c r="A196" s="34" t="n">
        <v>16</v>
      </c>
      <c r="B196" s="35" t="s">
        <v>25</v>
      </c>
      <c r="C196" s="34" t="s">
        <v>347</v>
      </c>
      <c r="D196" s="36" t="s">
        <v>58</v>
      </c>
      <c r="E196" s="36" t="s">
        <v>180</v>
      </c>
      <c r="F196" s="37"/>
      <c r="G196" s="34" t="s">
        <v>46</v>
      </c>
      <c r="H196" s="38"/>
      <c r="I196" s="34" t="s">
        <v>47</v>
      </c>
      <c r="J196" s="34" t="s">
        <v>48</v>
      </c>
      <c r="K196" s="36"/>
      <c r="L196" s="34" t="s">
        <v>376</v>
      </c>
    </row>
    <row r="197" customFormat="false" ht="18" hidden="false" customHeight="true" outlineLevel="0" collapsed="false">
      <c r="A197" s="64" t="n">
        <v>17</v>
      </c>
      <c r="B197" s="65" t="s">
        <v>25</v>
      </c>
      <c r="C197" s="64" t="s">
        <v>347</v>
      </c>
      <c r="D197" s="66" t="s">
        <v>95</v>
      </c>
      <c r="E197" s="66" t="s">
        <v>84</v>
      </c>
      <c r="F197" s="67"/>
      <c r="G197" s="64" t="s">
        <v>46</v>
      </c>
      <c r="H197" s="68"/>
      <c r="I197" s="64" t="s">
        <v>47</v>
      </c>
      <c r="J197" s="64" t="s">
        <v>48</v>
      </c>
      <c r="K197" s="66"/>
      <c r="L197" s="64" t="s">
        <v>377</v>
      </c>
    </row>
    <row r="198" customFormat="false" ht="18" hidden="false" customHeight="true" outlineLevel="0" collapsed="false">
      <c r="A198" s="34" t="n">
        <v>18</v>
      </c>
      <c r="B198" s="35" t="s">
        <v>25</v>
      </c>
      <c r="C198" s="34" t="s">
        <v>347</v>
      </c>
      <c r="D198" s="36" t="s">
        <v>378</v>
      </c>
      <c r="E198" s="36" t="s">
        <v>188</v>
      </c>
      <c r="F198" s="37"/>
      <c r="G198" s="34" t="s">
        <v>46</v>
      </c>
      <c r="H198" s="38"/>
      <c r="I198" s="34" t="s">
        <v>47</v>
      </c>
      <c r="J198" s="34" t="s">
        <v>48</v>
      </c>
      <c r="K198" s="36"/>
      <c r="L198" s="34" t="s">
        <v>379</v>
      </c>
    </row>
    <row r="199" customFormat="false" ht="18" hidden="false" customHeight="true" outlineLevel="0" collapsed="false">
      <c r="A199" s="64" t="n">
        <v>19</v>
      </c>
      <c r="B199" s="65" t="s">
        <v>25</v>
      </c>
      <c r="C199" s="64" t="s">
        <v>347</v>
      </c>
      <c r="D199" s="66" t="s">
        <v>105</v>
      </c>
      <c r="E199" s="66" t="s">
        <v>380</v>
      </c>
      <c r="F199" s="67"/>
      <c r="G199" s="64" t="s">
        <v>46</v>
      </c>
      <c r="H199" s="68"/>
      <c r="I199" s="64" t="s">
        <v>47</v>
      </c>
      <c r="J199" s="64" t="s">
        <v>48</v>
      </c>
      <c r="K199" s="66"/>
      <c r="L199" s="64" t="s">
        <v>381</v>
      </c>
    </row>
    <row r="200" customFormat="false" ht="18" hidden="false" customHeight="true" outlineLevel="0" collapsed="false">
      <c r="A200" s="34" t="n">
        <v>20</v>
      </c>
      <c r="B200" s="35" t="s">
        <v>25</v>
      </c>
      <c r="C200" s="34" t="s">
        <v>347</v>
      </c>
      <c r="D200" s="36" t="s">
        <v>120</v>
      </c>
      <c r="E200" s="36" t="s">
        <v>106</v>
      </c>
      <c r="F200" s="37"/>
      <c r="G200" s="34" t="s">
        <v>46</v>
      </c>
      <c r="H200" s="38"/>
      <c r="I200" s="34" t="s">
        <v>47</v>
      </c>
      <c r="J200" s="34" t="s">
        <v>48</v>
      </c>
      <c r="K200" s="36"/>
      <c r="L200" s="34" t="s">
        <v>382</v>
      </c>
    </row>
    <row r="201" customFormat="false" ht="18" hidden="false" customHeight="true" outlineLevel="0" collapsed="false">
      <c r="A201" s="64" t="n">
        <v>21</v>
      </c>
      <c r="B201" s="65" t="s">
        <v>25</v>
      </c>
      <c r="C201" s="64" t="s">
        <v>347</v>
      </c>
      <c r="D201" s="66" t="s">
        <v>103</v>
      </c>
      <c r="E201" s="66" t="s">
        <v>101</v>
      </c>
      <c r="F201" s="67"/>
      <c r="G201" s="64" t="s">
        <v>46</v>
      </c>
      <c r="H201" s="68"/>
      <c r="I201" s="64" t="s">
        <v>47</v>
      </c>
      <c r="J201" s="64" t="s">
        <v>48</v>
      </c>
      <c r="K201" s="66"/>
      <c r="L201" s="64" t="s">
        <v>383</v>
      </c>
    </row>
    <row r="202" customFormat="false" ht="18" hidden="false" customHeight="true" outlineLevel="0" collapsed="false">
      <c r="A202" s="34" t="n">
        <v>22</v>
      </c>
      <c r="B202" s="35" t="s">
        <v>25</v>
      </c>
      <c r="C202" s="34" t="s">
        <v>347</v>
      </c>
      <c r="D202" s="36" t="s">
        <v>384</v>
      </c>
      <c r="E202" s="36" t="s">
        <v>385</v>
      </c>
      <c r="F202" s="37"/>
      <c r="G202" s="34" t="s">
        <v>46</v>
      </c>
      <c r="H202" s="38"/>
      <c r="I202" s="34" t="s">
        <v>47</v>
      </c>
      <c r="J202" s="34" t="s">
        <v>48</v>
      </c>
      <c r="K202" s="36"/>
      <c r="L202" s="34" t="s">
        <v>386</v>
      </c>
    </row>
    <row r="203" customFormat="false" ht="18" hidden="false" customHeight="true" outlineLevel="0" collapsed="false">
      <c r="A203" s="64" t="n">
        <v>23</v>
      </c>
      <c r="B203" s="65" t="s">
        <v>25</v>
      </c>
      <c r="C203" s="64" t="s">
        <v>347</v>
      </c>
      <c r="D203" s="66" t="s">
        <v>100</v>
      </c>
      <c r="E203" s="66" t="s">
        <v>387</v>
      </c>
      <c r="F203" s="67"/>
      <c r="G203" s="64" t="s">
        <v>46</v>
      </c>
      <c r="H203" s="68"/>
      <c r="I203" s="64" t="s">
        <v>47</v>
      </c>
      <c r="J203" s="64" t="s">
        <v>48</v>
      </c>
      <c r="K203" s="66"/>
      <c r="L203" s="64" t="s">
        <v>388</v>
      </c>
    </row>
    <row r="204" customFormat="false" ht="18" hidden="false" customHeight="true" outlineLevel="0" collapsed="false">
      <c r="A204" s="34" t="n">
        <v>24</v>
      </c>
      <c r="B204" s="35" t="s">
        <v>25</v>
      </c>
      <c r="C204" s="34" t="s">
        <v>347</v>
      </c>
      <c r="D204" s="36" t="s">
        <v>389</v>
      </c>
      <c r="E204" s="36" t="s">
        <v>390</v>
      </c>
      <c r="F204" s="37"/>
      <c r="G204" s="34" t="s">
        <v>46</v>
      </c>
      <c r="H204" s="38"/>
      <c r="I204" s="34" t="s">
        <v>47</v>
      </c>
      <c r="J204" s="34" t="s">
        <v>48</v>
      </c>
      <c r="K204" s="36"/>
      <c r="L204" s="34" t="s">
        <v>391</v>
      </c>
    </row>
    <row r="205" customFormat="false" ht="18" hidden="false" customHeight="true" outlineLevel="0" collapsed="false">
      <c r="A205" s="64" t="n">
        <v>25</v>
      </c>
      <c r="B205" s="65" t="s">
        <v>25</v>
      </c>
      <c r="C205" s="64" t="s">
        <v>347</v>
      </c>
      <c r="D205" s="66" t="s">
        <v>392</v>
      </c>
      <c r="E205" s="66" t="s">
        <v>96</v>
      </c>
      <c r="F205" s="67"/>
      <c r="G205" s="64" t="s">
        <v>46</v>
      </c>
      <c r="H205" s="68"/>
      <c r="I205" s="64" t="s">
        <v>47</v>
      </c>
      <c r="J205" s="64" t="s">
        <v>48</v>
      </c>
      <c r="K205" s="66"/>
      <c r="L205" s="64" t="s">
        <v>393</v>
      </c>
    </row>
    <row r="206" customFormat="false" ht="18" hidden="false" customHeight="true" outlineLevel="0" collapsed="false">
      <c r="A206" s="34" t="n">
        <v>26</v>
      </c>
      <c r="B206" s="35" t="s">
        <v>25</v>
      </c>
      <c r="C206" s="34" t="s">
        <v>347</v>
      </c>
      <c r="D206" s="36" t="s">
        <v>394</v>
      </c>
      <c r="E206" s="36" t="s">
        <v>51</v>
      </c>
      <c r="F206" s="37"/>
      <c r="G206" s="34" t="s">
        <v>46</v>
      </c>
      <c r="H206" s="38"/>
      <c r="I206" s="34" t="s">
        <v>47</v>
      </c>
      <c r="J206" s="34" t="s">
        <v>48</v>
      </c>
      <c r="K206" s="36"/>
      <c r="L206" s="34" t="s">
        <v>395</v>
      </c>
    </row>
    <row r="207" customFormat="false" ht="18" hidden="false" customHeight="true" outlineLevel="0" collapsed="false">
      <c r="A207" s="64" t="n">
        <v>27</v>
      </c>
      <c r="B207" s="65" t="s">
        <v>25</v>
      </c>
      <c r="C207" s="64" t="s">
        <v>347</v>
      </c>
      <c r="D207" s="66" t="s">
        <v>396</v>
      </c>
      <c r="E207" s="66" t="s">
        <v>51</v>
      </c>
      <c r="F207" s="67"/>
      <c r="G207" s="64" t="s">
        <v>46</v>
      </c>
      <c r="H207" s="68"/>
      <c r="I207" s="64" t="s">
        <v>47</v>
      </c>
      <c r="J207" s="64" t="s">
        <v>48</v>
      </c>
      <c r="K207" s="66"/>
      <c r="L207" s="64" t="s">
        <v>397</v>
      </c>
    </row>
    <row r="208" customFormat="false" ht="18" hidden="false" customHeight="true" outlineLevel="0" collapsed="false">
      <c r="A208" s="34" t="n">
        <v>28</v>
      </c>
      <c r="B208" s="35" t="s">
        <v>25</v>
      </c>
      <c r="C208" s="34" t="s">
        <v>347</v>
      </c>
      <c r="D208" s="36" t="s">
        <v>398</v>
      </c>
      <c r="E208" s="36" t="s">
        <v>51</v>
      </c>
      <c r="F208" s="37"/>
      <c r="G208" s="34" t="s">
        <v>46</v>
      </c>
      <c r="H208" s="38"/>
      <c r="I208" s="34" t="s">
        <v>47</v>
      </c>
      <c r="J208" s="34" t="s">
        <v>48</v>
      </c>
      <c r="K208" s="36"/>
      <c r="L208" s="34" t="s">
        <v>399</v>
      </c>
    </row>
    <row r="209" customFormat="false" ht="18" hidden="false" customHeight="true" outlineLevel="0" collapsed="false">
      <c r="A209" s="64" t="n">
        <v>29</v>
      </c>
      <c r="B209" s="65" t="s">
        <v>25</v>
      </c>
      <c r="C209" s="64" t="s">
        <v>347</v>
      </c>
      <c r="D209" s="66" t="s">
        <v>400</v>
      </c>
      <c r="E209" s="66" t="s">
        <v>401</v>
      </c>
      <c r="F209" s="67"/>
      <c r="G209" s="64" t="s">
        <v>46</v>
      </c>
      <c r="H209" s="68"/>
      <c r="I209" s="64" t="s">
        <v>47</v>
      </c>
      <c r="J209" s="64" t="s">
        <v>48</v>
      </c>
      <c r="K209" s="66"/>
      <c r="L209" s="64" t="s">
        <v>402</v>
      </c>
    </row>
    <row r="210" customFormat="false" ht="21.75" hidden="false" customHeight="true" outlineLevel="0" collapsed="false">
      <c r="A210" s="69" t="s">
        <v>403</v>
      </c>
      <c r="B210" s="69"/>
      <c r="C210" s="69"/>
      <c r="D210" s="69"/>
      <c r="E210" s="69"/>
      <c r="F210" s="69"/>
      <c r="G210" s="69"/>
      <c r="H210" s="69"/>
      <c r="I210" s="69"/>
      <c r="J210" s="69"/>
      <c r="K210" s="69"/>
      <c r="L210" s="69"/>
    </row>
    <row r="211" customFormat="false" ht="18" hidden="false" customHeight="true" outlineLevel="0" collapsed="false">
      <c r="A211" s="70" t="n">
        <v>1</v>
      </c>
      <c r="B211" s="71" t="s">
        <v>26</v>
      </c>
      <c r="C211" s="70" t="s">
        <v>404</v>
      </c>
      <c r="D211" s="72" t="s">
        <v>128</v>
      </c>
      <c r="E211" s="72" t="s">
        <v>51</v>
      </c>
      <c r="F211" s="73"/>
      <c r="G211" s="70" t="s">
        <v>46</v>
      </c>
      <c r="H211" s="74"/>
      <c r="I211" s="70" t="s">
        <v>47</v>
      </c>
      <c r="J211" s="70" t="s">
        <v>48</v>
      </c>
      <c r="K211" s="72"/>
      <c r="L211" s="70" t="s">
        <v>405</v>
      </c>
    </row>
    <row r="212" customFormat="false" ht="18" hidden="false" customHeight="true" outlineLevel="0" collapsed="false">
      <c r="A212" s="34" t="n">
        <v>2</v>
      </c>
      <c r="B212" s="35" t="s">
        <v>26</v>
      </c>
      <c r="C212" s="34" t="s">
        <v>404</v>
      </c>
      <c r="D212" s="36" t="s">
        <v>44</v>
      </c>
      <c r="E212" s="36" t="s">
        <v>133</v>
      </c>
      <c r="F212" s="37"/>
      <c r="G212" s="34" t="s">
        <v>46</v>
      </c>
      <c r="H212" s="38"/>
      <c r="I212" s="34" t="s">
        <v>47</v>
      </c>
      <c r="J212" s="34" t="s">
        <v>48</v>
      </c>
      <c r="K212" s="36"/>
      <c r="L212" s="34" t="s">
        <v>406</v>
      </c>
    </row>
    <row r="213" customFormat="false" ht="18" hidden="false" customHeight="true" outlineLevel="0" collapsed="false">
      <c r="A213" s="70" t="n">
        <v>3</v>
      </c>
      <c r="B213" s="71" t="s">
        <v>26</v>
      </c>
      <c r="C213" s="70" t="s">
        <v>404</v>
      </c>
      <c r="D213" s="72" t="s">
        <v>407</v>
      </c>
      <c r="E213" s="72" t="s">
        <v>45</v>
      </c>
      <c r="F213" s="73"/>
      <c r="G213" s="70" t="s">
        <v>46</v>
      </c>
      <c r="H213" s="74"/>
      <c r="I213" s="70" t="s">
        <v>47</v>
      </c>
      <c r="J213" s="70" t="s">
        <v>48</v>
      </c>
      <c r="K213" s="72"/>
      <c r="L213" s="70" t="s">
        <v>408</v>
      </c>
    </row>
    <row r="214" customFormat="false" ht="18" hidden="false" customHeight="true" outlineLevel="0" collapsed="false">
      <c r="A214" s="34" t="n">
        <v>4</v>
      </c>
      <c r="B214" s="35" t="s">
        <v>26</v>
      </c>
      <c r="C214" s="34" t="s">
        <v>404</v>
      </c>
      <c r="D214" s="36" t="s">
        <v>63</v>
      </c>
      <c r="E214" s="36" t="s">
        <v>409</v>
      </c>
      <c r="F214" s="37"/>
      <c r="G214" s="34" t="s">
        <v>46</v>
      </c>
      <c r="H214" s="38"/>
      <c r="I214" s="34" t="s">
        <v>47</v>
      </c>
      <c r="J214" s="34" t="s">
        <v>48</v>
      </c>
      <c r="K214" s="36"/>
      <c r="L214" s="34" t="s">
        <v>410</v>
      </c>
    </row>
    <row r="215" customFormat="false" ht="18" hidden="false" customHeight="true" outlineLevel="0" collapsed="false">
      <c r="A215" s="70" t="n">
        <v>5</v>
      </c>
      <c r="B215" s="71" t="s">
        <v>26</v>
      </c>
      <c r="C215" s="70" t="s">
        <v>404</v>
      </c>
      <c r="D215" s="72" t="s">
        <v>66</v>
      </c>
      <c r="E215" s="72" t="s">
        <v>411</v>
      </c>
      <c r="F215" s="73"/>
      <c r="G215" s="70" t="s">
        <v>46</v>
      </c>
      <c r="H215" s="74"/>
      <c r="I215" s="70" t="s">
        <v>47</v>
      </c>
      <c r="J215" s="70" t="s">
        <v>48</v>
      </c>
      <c r="K215" s="72"/>
      <c r="L215" s="70" t="s">
        <v>412</v>
      </c>
    </row>
    <row r="216" customFormat="false" ht="18" hidden="false" customHeight="true" outlineLevel="0" collapsed="false">
      <c r="A216" s="34" t="n">
        <v>6</v>
      </c>
      <c r="B216" s="35" t="s">
        <v>26</v>
      </c>
      <c r="C216" s="34" t="s">
        <v>404</v>
      </c>
      <c r="D216" s="36" t="s">
        <v>148</v>
      </c>
      <c r="E216" s="36" t="s">
        <v>64</v>
      </c>
      <c r="F216" s="37"/>
      <c r="G216" s="34" t="s">
        <v>46</v>
      </c>
      <c r="H216" s="38"/>
      <c r="I216" s="34" t="s">
        <v>47</v>
      </c>
      <c r="J216" s="34" t="s">
        <v>48</v>
      </c>
      <c r="K216" s="36"/>
      <c r="L216" s="34" t="s">
        <v>413</v>
      </c>
    </row>
    <row r="217" customFormat="false" ht="18" hidden="false" customHeight="true" outlineLevel="0" collapsed="false">
      <c r="A217" s="70" t="n">
        <v>7</v>
      </c>
      <c r="B217" s="71" t="s">
        <v>26</v>
      </c>
      <c r="C217" s="70" t="s">
        <v>404</v>
      </c>
      <c r="D217" s="72" t="s">
        <v>309</v>
      </c>
      <c r="E217" s="72" t="s">
        <v>414</v>
      </c>
      <c r="F217" s="73"/>
      <c r="G217" s="70" t="s">
        <v>46</v>
      </c>
      <c r="H217" s="74"/>
      <c r="I217" s="70" t="s">
        <v>47</v>
      </c>
      <c r="J217" s="70" t="s">
        <v>48</v>
      </c>
      <c r="K217" s="72"/>
      <c r="L217" s="70" t="s">
        <v>415</v>
      </c>
    </row>
    <row r="218" customFormat="false" ht="18" hidden="false" customHeight="true" outlineLevel="0" collapsed="false">
      <c r="A218" s="34" t="n">
        <v>8</v>
      </c>
      <c r="B218" s="35" t="s">
        <v>26</v>
      </c>
      <c r="C218" s="34" t="s">
        <v>404</v>
      </c>
      <c r="D218" s="36" t="s">
        <v>163</v>
      </c>
      <c r="E218" s="36" t="s">
        <v>101</v>
      </c>
      <c r="F218" s="37"/>
      <c r="G218" s="34" t="s">
        <v>46</v>
      </c>
      <c r="H218" s="38"/>
      <c r="I218" s="34" t="s">
        <v>47</v>
      </c>
      <c r="J218" s="34" t="s">
        <v>48</v>
      </c>
      <c r="K218" s="36"/>
      <c r="L218" s="34" t="s">
        <v>416</v>
      </c>
    </row>
    <row r="219" customFormat="false" ht="18" hidden="false" customHeight="true" outlineLevel="0" collapsed="false">
      <c r="A219" s="70" t="n">
        <v>9</v>
      </c>
      <c r="B219" s="71" t="s">
        <v>26</v>
      </c>
      <c r="C219" s="70" t="s">
        <v>404</v>
      </c>
      <c r="D219" s="72" t="s">
        <v>135</v>
      </c>
      <c r="E219" s="72" t="s">
        <v>414</v>
      </c>
      <c r="F219" s="73"/>
      <c r="G219" s="70" t="s">
        <v>46</v>
      </c>
      <c r="H219" s="74"/>
      <c r="I219" s="70" t="s">
        <v>47</v>
      </c>
      <c r="J219" s="70" t="s">
        <v>48</v>
      </c>
      <c r="K219" s="72"/>
      <c r="L219" s="70" t="s">
        <v>417</v>
      </c>
    </row>
    <row r="220" customFormat="false" ht="18" hidden="false" customHeight="true" outlineLevel="0" collapsed="false">
      <c r="A220" s="34" t="n">
        <v>10</v>
      </c>
      <c r="B220" s="35" t="s">
        <v>26</v>
      </c>
      <c r="C220" s="34" t="s">
        <v>404</v>
      </c>
      <c r="D220" s="36" t="s">
        <v>260</v>
      </c>
      <c r="E220" s="36" t="s">
        <v>101</v>
      </c>
      <c r="F220" s="37"/>
      <c r="G220" s="34" t="s">
        <v>46</v>
      </c>
      <c r="H220" s="38"/>
      <c r="I220" s="34" t="s">
        <v>47</v>
      </c>
      <c r="J220" s="34" t="s">
        <v>48</v>
      </c>
      <c r="K220" s="36"/>
      <c r="L220" s="34" t="s">
        <v>418</v>
      </c>
    </row>
    <row r="221" customFormat="false" ht="18" hidden="false" customHeight="true" outlineLevel="0" collapsed="false">
      <c r="A221" s="70" t="n">
        <v>11</v>
      </c>
      <c r="B221" s="71" t="s">
        <v>26</v>
      </c>
      <c r="C221" s="70" t="s">
        <v>404</v>
      </c>
      <c r="D221" s="72" t="s">
        <v>89</v>
      </c>
      <c r="E221" s="72" t="s">
        <v>90</v>
      </c>
      <c r="F221" s="73"/>
      <c r="G221" s="70" t="s">
        <v>46</v>
      </c>
      <c r="H221" s="74"/>
      <c r="I221" s="70" t="s">
        <v>47</v>
      </c>
      <c r="J221" s="70" t="s">
        <v>48</v>
      </c>
      <c r="K221" s="72"/>
      <c r="L221" s="70" t="s">
        <v>419</v>
      </c>
    </row>
    <row r="222" customFormat="false" ht="18" hidden="false" customHeight="true" outlineLevel="0" collapsed="false">
      <c r="A222" s="34" t="n">
        <v>12</v>
      </c>
      <c r="B222" s="35" t="s">
        <v>26</v>
      </c>
      <c r="C222" s="34" t="s">
        <v>404</v>
      </c>
      <c r="D222" s="36" t="s">
        <v>141</v>
      </c>
      <c r="E222" s="36" t="s">
        <v>72</v>
      </c>
      <c r="F222" s="37"/>
      <c r="G222" s="34" t="s">
        <v>46</v>
      </c>
      <c r="H222" s="38"/>
      <c r="I222" s="34" t="s">
        <v>47</v>
      </c>
      <c r="J222" s="34" t="s">
        <v>48</v>
      </c>
      <c r="K222" s="36"/>
      <c r="L222" s="34" t="s">
        <v>420</v>
      </c>
    </row>
    <row r="223" customFormat="false" ht="18" hidden="false" customHeight="true" outlineLevel="0" collapsed="false">
      <c r="A223" s="70" t="n">
        <v>13</v>
      </c>
      <c r="B223" s="71" t="s">
        <v>26</v>
      </c>
      <c r="C223" s="70" t="s">
        <v>404</v>
      </c>
      <c r="D223" s="72" t="s">
        <v>124</v>
      </c>
      <c r="E223" s="72" t="s">
        <v>421</v>
      </c>
      <c r="F223" s="73"/>
      <c r="G223" s="70" t="s">
        <v>46</v>
      </c>
      <c r="H223" s="74"/>
      <c r="I223" s="70" t="s">
        <v>47</v>
      </c>
      <c r="J223" s="70" t="s">
        <v>48</v>
      </c>
      <c r="K223" s="72"/>
      <c r="L223" s="70" t="s">
        <v>422</v>
      </c>
    </row>
    <row r="224" customFormat="false" ht="18" hidden="false" customHeight="true" outlineLevel="0" collapsed="false">
      <c r="A224" s="34" t="n">
        <v>14</v>
      </c>
      <c r="B224" s="35" t="s">
        <v>26</v>
      </c>
      <c r="C224" s="34" t="s">
        <v>404</v>
      </c>
      <c r="D224" s="36" t="s">
        <v>71</v>
      </c>
      <c r="E224" s="36" t="s">
        <v>75</v>
      </c>
      <c r="F224" s="37"/>
      <c r="G224" s="34" t="s">
        <v>46</v>
      </c>
      <c r="H224" s="38"/>
      <c r="I224" s="34" t="s">
        <v>47</v>
      </c>
      <c r="J224" s="34" t="s">
        <v>48</v>
      </c>
      <c r="K224" s="36"/>
      <c r="L224" s="34" t="s">
        <v>423</v>
      </c>
    </row>
    <row r="225" customFormat="false" ht="18" hidden="false" customHeight="true" outlineLevel="0" collapsed="false">
      <c r="A225" s="70" t="n">
        <v>15</v>
      </c>
      <c r="B225" s="71" t="s">
        <v>26</v>
      </c>
      <c r="C225" s="70" t="s">
        <v>404</v>
      </c>
      <c r="D225" s="72" t="s">
        <v>366</v>
      </c>
      <c r="E225" s="72" t="s">
        <v>424</v>
      </c>
      <c r="F225" s="73"/>
      <c r="G225" s="70" t="s">
        <v>46</v>
      </c>
      <c r="H225" s="74"/>
      <c r="I225" s="70" t="s">
        <v>47</v>
      </c>
      <c r="J225" s="70" t="s">
        <v>48</v>
      </c>
      <c r="K225" s="72"/>
      <c r="L225" s="70" t="s">
        <v>425</v>
      </c>
    </row>
    <row r="226" customFormat="false" ht="18" hidden="false" customHeight="true" outlineLevel="0" collapsed="false">
      <c r="A226" s="34" t="n">
        <v>16</v>
      </c>
      <c r="B226" s="35" t="s">
        <v>26</v>
      </c>
      <c r="C226" s="34" t="s">
        <v>404</v>
      </c>
      <c r="D226" s="36" t="s">
        <v>58</v>
      </c>
      <c r="E226" s="36" t="s">
        <v>152</v>
      </c>
      <c r="F226" s="37"/>
      <c r="G226" s="34" t="s">
        <v>46</v>
      </c>
      <c r="H226" s="38"/>
      <c r="I226" s="34" t="s">
        <v>47</v>
      </c>
      <c r="J226" s="34" t="s">
        <v>48</v>
      </c>
      <c r="K226" s="36"/>
      <c r="L226" s="34" t="s">
        <v>426</v>
      </c>
    </row>
    <row r="227" customFormat="false" ht="18" hidden="false" customHeight="true" outlineLevel="0" collapsed="false">
      <c r="A227" s="70" t="n">
        <v>17</v>
      </c>
      <c r="B227" s="71" t="s">
        <v>26</v>
      </c>
      <c r="C227" s="70" t="s">
        <v>404</v>
      </c>
      <c r="D227" s="72" t="s">
        <v>427</v>
      </c>
      <c r="E227" s="72" t="s">
        <v>69</v>
      </c>
      <c r="F227" s="73"/>
      <c r="G227" s="70" t="s">
        <v>46</v>
      </c>
      <c r="H227" s="74"/>
      <c r="I227" s="70" t="s">
        <v>47</v>
      </c>
      <c r="J227" s="70" t="s">
        <v>48</v>
      </c>
      <c r="K227" s="72"/>
      <c r="L227" s="70" t="s">
        <v>428</v>
      </c>
    </row>
    <row r="228" customFormat="false" ht="18" hidden="false" customHeight="true" outlineLevel="0" collapsed="false">
      <c r="A228" s="34" t="n">
        <v>18</v>
      </c>
      <c r="B228" s="35" t="s">
        <v>26</v>
      </c>
      <c r="C228" s="34" t="s">
        <v>404</v>
      </c>
      <c r="D228" s="36" t="s">
        <v>98</v>
      </c>
      <c r="E228" s="36" t="s">
        <v>109</v>
      </c>
      <c r="F228" s="37"/>
      <c r="G228" s="34" t="s">
        <v>46</v>
      </c>
      <c r="H228" s="38"/>
      <c r="I228" s="34" t="s">
        <v>47</v>
      </c>
      <c r="J228" s="34" t="s">
        <v>48</v>
      </c>
      <c r="K228" s="36"/>
      <c r="L228" s="34" t="s">
        <v>429</v>
      </c>
    </row>
    <row r="229" customFormat="false" ht="18" hidden="false" customHeight="true" outlineLevel="0" collapsed="false">
      <c r="A229" s="70" t="n">
        <v>19</v>
      </c>
      <c r="B229" s="71" t="s">
        <v>26</v>
      </c>
      <c r="C229" s="70" t="s">
        <v>404</v>
      </c>
      <c r="D229" s="72" t="s">
        <v>394</v>
      </c>
      <c r="E229" s="72" t="s">
        <v>84</v>
      </c>
      <c r="F229" s="73"/>
      <c r="G229" s="70" t="s">
        <v>46</v>
      </c>
      <c r="H229" s="74"/>
      <c r="I229" s="70" t="s">
        <v>47</v>
      </c>
      <c r="J229" s="70" t="s">
        <v>48</v>
      </c>
      <c r="K229" s="72"/>
      <c r="L229" s="70" t="s">
        <v>430</v>
      </c>
    </row>
    <row r="230" customFormat="false" ht="18" hidden="false" customHeight="true" outlineLevel="0" collapsed="false">
      <c r="A230" s="34" t="n">
        <v>20</v>
      </c>
      <c r="B230" s="35" t="s">
        <v>26</v>
      </c>
      <c r="C230" s="34" t="s">
        <v>404</v>
      </c>
      <c r="D230" s="36" t="s">
        <v>431</v>
      </c>
      <c r="E230" s="36" t="s">
        <v>188</v>
      </c>
      <c r="F230" s="37"/>
      <c r="G230" s="34" t="s">
        <v>46</v>
      </c>
      <c r="H230" s="38"/>
      <c r="I230" s="34" t="s">
        <v>47</v>
      </c>
      <c r="J230" s="34" t="s">
        <v>48</v>
      </c>
      <c r="K230" s="36"/>
      <c r="L230" s="34" t="s">
        <v>432</v>
      </c>
    </row>
    <row r="231" customFormat="false" ht="18" hidden="false" customHeight="true" outlineLevel="0" collapsed="false">
      <c r="A231" s="70" t="n">
        <v>21</v>
      </c>
      <c r="B231" s="71" t="s">
        <v>26</v>
      </c>
      <c r="C231" s="70" t="s">
        <v>404</v>
      </c>
      <c r="D231" s="72" t="s">
        <v>173</v>
      </c>
      <c r="E231" s="72" t="s">
        <v>78</v>
      </c>
      <c r="F231" s="73"/>
      <c r="G231" s="70" t="s">
        <v>46</v>
      </c>
      <c r="H231" s="74"/>
      <c r="I231" s="70" t="s">
        <v>47</v>
      </c>
      <c r="J231" s="70" t="s">
        <v>48</v>
      </c>
      <c r="K231" s="72"/>
      <c r="L231" s="70" t="s">
        <v>433</v>
      </c>
    </row>
    <row r="232" customFormat="false" ht="18" hidden="false" customHeight="true" outlineLevel="0" collapsed="false">
      <c r="A232" s="34" t="n">
        <v>22</v>
      </c>
      <c r="B232" s="35" t="s">
        <v>26</v>
      </c>
      <c r="C232" s="34" t="s">
        <v>404</v>
      </c>
      <c r="D232" s="36" t="s">
        <v>95</v>
      </c>
      <c r="E232" s="36" t="s">
        <v>297</v>
      </c>
      <c r="F232" s="37"/>
      <c r="G232" s="34" t="s">
        <v>46</v>
      </c>
      <c r="H232" s="38"/>
      <c r="I232" s="34" t="s">
        <v>47</v>
      </c>
      <c r="J232" s="34" t="s">
        <v>48</v>
      </c>
      <c r="K232" s="36"/>
      <c r="L232" s="34" t="s">
        <v>434</v>
      </c>
    </row>
    <row r="233" customFormat="false" ht="18" hidden="false" customHeight="true" outlineLevel="0" collapsed="false">
      <c r="A233" s="70" t="n">
        <v>23</v>
      </c>
      <c r="B233" s="71" t="s">
        <v>26</v>
      </c>
      <c r="C233" s="70" t="s">
        <v>404</v>
      </c>
      <c r="D233" s="72" t="s">
        <v>83</v>
      </c>
      <c r="E233" s="72" t="s">
        <v>84</v>
      </c>
      <c r="F233" s="73"/>
      <c r="G233" s="70" t="s">
        <v>46</v>
      </c>
      <c r="H233" s="74"/>
      <c r="I233" s="70" t="s">
        <v>47</v>
      </c>
      <c r="J233" s="70" t="s">
        <v>48</v>
      </c>
      <c r="K233" s="72"/>
      <c r="L233" s="70" t="s">
        <v>435</v>
      </c>
    </row>
    <row r="234" customFormat="false" ht="18" hidden="false" customHeight="true" outlineLevel="0" collapsed="false">
      <c r="A234" s="34" t="n">
        <v>24</v>
      </c>
      <c r="B234" s="35" t="s">
        <v>26</v>
      </c>
      <c r="C234" s="34" t="s">
        <v>404</v>
      </c>
      <c r="D234" s="36" t="s">
        <v>183</v>
      </c>
      <c r="E234" s="36" t="s">
        <v>51</v>
      </c>
      <c r="F234" s="37"/>
      <c r="G234" s="34" t="s">
        <v>46</v>
      </c>
      <c r="H234" s="38"/>
      <c r="I234" s="34" t="s">
        <v>47</v>
      </c>
      <c r="J234" s="34" t="s">
        <v>48</v>
      </c>
      <c r="K234" s="36"/>
      <c r="L234" s="34" t="s">
        <v>436</v>
      </c>
    </row>
    <row r="235" customFormat="false" ht="18" hidden="false" customHeight="true" outlineLevel="0" collapsed="false">
      <c r="A235" s="70" t="n">
        <v>25</v>
      </c>
      <c r="B235" s="71" t="s">
        <v>26</v>
      </c>
      <c r="C235" s="70" t="s">
        <v>404</v>
      </c>
      <c r="D235" s="72" t="s">
        <v>115</v>
      </c>
      <c r="E235" s="72" t="s">
        <v>437</v>
      </c>
      <c r="F235" s="73"/>
      <c r="G235" s="70" t="s">
        <v>46</v>
      </c>
      <c r="H235" s="74"/>
      <c r="I235" s="70" t="s">
        <v>47</v>
      </c>
      <c r="J235" s="70" t="s">
        <v>48</v>
      </c>
      <c r="K235" s="72"/>
      <c r="L235" s="70" t="s">
        <v>438</v>
      </c>
    </row>
    <row r="236" customFormat="false" ht="18" hidden="false" customHeight="true" outlineLevel="0" collapsed="false">
      <c r="A236" s="34" t="n">
        <v>26</v>
      </c>
      <c r="B236" s="35" t="s">
        <v>26</v>
      </c>
      <c r="C236" s="34" t="s">
        <v>404</v>
      </c>
      <c r="D236" s="36" t="s">
        <v>108</v>
      </c>
      <c r="E236" s="36" t="s">
        <v>109</v>
      </c>
      <c r="F236" s="37"/>
      <c r="G236" s="34" t="s">
        <v>46</v>
      </c>
      <c r="H236" s="38"/>
      <c r="I236" s="34" t="s">
        <v>47</v>
      </c>
      <c r="J236" s="34" t="s">
        <v>48</v>
      </c>
      <c r="K236" s="36"/>
      <c r="L236" s="34" t="s">
        <v>439</v>
      </c>
    </row>
    <row r="237" customFormat="false" ht="18" hidden="false" customHeight="true" outlineLevel="0" collapsed="false">
      <c r="A237" s="70" t="n">
        <v>27</v>
      </c>
      <c r="B237" s="71" t="s">
        <v>26</v>
      </c>
      <c r="C237" s="70" t="s">
        <v>404</v>
      </c>
      <c r="D237" s="72" t="s">
        <v>111</v>
      </c>
      <c r="E237" s="72" t="s">
        <v>96</v>
      </c>
      <c r="F237" s="73"/>
      <c r="G237" s="70" t="s">
        <v>46</v>
      </c>
      <c r="H237" s="74"/>
      <c r="I237" s="70" t="s">
        <v>47</v>
      </c>
      <c r="J237" s="70" t="s">
        <v>48</v>
      </c>
      <c r="K237" s="72"/>
      <c r="L237" s="70" t="s">
        <v>440</v>
      </c>
    </row>
    <row r="238" customFormat="false" ht="18" hidden="false" customHeight="true" outlineLevel="0" collapsed="false">
      <c r="A238" s="34" t="n">
        <v>28</v>
      </c>
      <c r="B238" s="35" t="s">
        <v>26</v>
      </c>
      <c r="C238" s="34" t="s">
        <v>404</v>
      </c>
      <c r="D238" s="36" t="s">
        <v>92</v>
      </c>
      <c r="E238" s="36" t="s">
        <v>93</v>
      </c>
      <c r="F238" s="37"/>
      <c r="G238" s="34" t="s">
        <v>46</v>
      </c>
      <c r="H238" s="38"/>
      <c r="I238" s="34" t="s">
        <v>47</v>
      </c>
      <c r="J238" s="34" t="s">
        <v>48</v>
      </c>
      <c r="K238" s="36"/>
      <c r="L238" s="34" t="s">
        <v>441</v>
      </c>
    </row>
    <row r="239" customFormat="false" ht="18" hidden="false" customHeight="true" outlineLevel="0" collapsed="false">
      <c r="A239" s="70" t="n">
        <v>29</v>
      </c>
      <c r="B239" s="71" t="s">
        <v>26</v>
      </c>
      <c r="C239" s="70" t="s">
        <v>404</v>
      </c>
      <c r="D239" s="72" t="s">
        <v>105</v>
      </c>
      <c r="E239" s="72" t="s">
        <v>109</v>
      </c>
      <c r="F239" s="73"/>
      <c r="G239" s="70" t="s">
        <v>46</v>
      </c>
      <c r="H239" s="74"/>
      <c r="I239" s="70" t="s">
        <v>47</v>
      </c>
      <c r="J239" s="70" t="s">
        <v>48</v>
      </c>
      <c r="K239" s="72"/>
      <c r="L239" s="70" t="s">
        <v>442</v>
      </c>
    </row>
    <row r="240" customFormat="false" ht="18" hidden="false" customHeight="true" outlineLevel="0" collapsed="false">
      <c r="A240" s="34" t="n">
        <v>30</v>
      </c>
      <c r="B240" s="35" t="s">
        <v>26</v>
      </c>
      <c r="C240" s="34" t="s">
        <v>404</v>
      </c>
      <c r="D240" s="36" t="s">
        <v>103</v>
      </c>
      <c r="E240" s="36" t="s">
        <v>101</v>
      </c>
      <c r="F240" s="37"/>
      <c r="G240" s="34" t="s">
        <v>46</v>
      </c>
      <c r="H240" s="38"/>
      <c r="I240" s="34" t="s">
        <v>47</v>
      </c>
      <c r="J240" s="34" t="s">
        <v>48</v>
      </c>
      <c r="K240" s="36"/>
      <c r="L240" s="34" t="s">
        <v>443</v>
      </c>
    </row>
    <row r="241" customFormat="false" ht="18" hidden="false" customHeight="true" outlineLevel="0" collapsed="false">
      <c r="A241" s="70" t="n">
        <v>31</v>
      </c>
      <c r="B241" s="71" t="s">
        <v>26</v>
      </c>
      <c r="C241" s="70" t="s">
        <v>404</v>
      </c>
      <c r="D241" s="72" t="s">
        <v>122</v>
      </c>
      <c r="E241" s="72" t="s">
        <v>51</v>
      </c>
      <c r="F241" s="73"/>
      <c r="G241" s="70" t="s">
        <v>46</v>
      </c>
      <c r="H241" s="74"/>
      <c r="I241" s="70" t="s">
        <v>47</v>
      </c>
      <c r="J241" s="70" t="s">
        <v>48</v>
      </c>
      <c r="K241" s="72"/>
      <c r="L241" s="70" t="s">
        <v>444</v>
      </c>
    </row>
    <row r="242" customFormat="false" ht="18" hidden="false" customHeight="true" outlineLevel="0" collapsed="false">
      <c r="A242" s="34" t="n">
        <v>32</v>
      </c>
      <c r="B242" s="35" t="s">
        <v>26</v>
      </c>
      <c r="C242" s="34" t="s">
        <v>404</v>
      </c>
      <c r="D242" s="36" t="s">
        <v>74</v>
      </c>
      <c r="E242" s="36" t="s">
        <v>75</v>
      </c>
      <c r="F242" s="37"/>
      <c r="G242" s="34" t="s">
        <v>46</v>
      </c>
      <c r="H242" s="38"/>
      <c r="I242" s="34" t="s">
        <v>47</v>
      </c>
      <c r="J242" s="34" t="s">
        <v>48</v>
      </c>
      <c r="K242" s="36"/>
      <c r="L242" s="34" t="s">
        <v>445</v>
      </c>
    </row>
    <row r="243" customFormat="false" ht="21.75" hidden="false" customHeight="true" outlineLevel="0" collapsed="false">
      <c r="A243" s="75" t="s">
        <v>446</v>
      </c>
      <c r="B243" s="75"/>
      <c r="C243" s="75"/>
      <c r="D243" s="75"/>
      <c r="E243" s="75"/>
      <c r="F243" s="75"/>
      <c r="G243" s="75"/>
      <c r="H243" s="75"/>
      <c r="I243" s="75"/>
      <c r="J243" s="75"/>
      <c r="K243" s="75"/>
      <c r="L243" s="75"/>
    </row>
    <row r="244" customFormat="false" ht="18" hidden="false" customHeight="true" outlineLevel="0" collapsed="false">
      <c r="A244" s="76" t="n">
        <v>1</v>
      </c>
      <c r="B244" s="77" t="s">
        <v>27</v>
      </c>
      <c r="C244" s="76" t="s">
        <v>447</v>
      </c>
      <c r="D244" s="78" t="s">
        <v>44</v>
      </c>
      <c r="E244" s="78" t="s">
        <v>45</v>
      </c>
      <c r="F244" s="79"/>
      <c r="G244" s="76" t="s">
        <v>46</v>
      </c>
      <c r="H244" s="80"/>
      <c r="I244" s="76" t="s">
        <v>47</v>
      </c>
      <c r="J244" s="76" t="s">
        <v>48</v>
      </c>
      <c r="K244" s="78"/>
      <c r="L244" s="76" t="s">
        <v>448</v>
      </c>
    </row>
    <row r="245" customFormat="false" ht="18" hidden="false" customHeight="true" outlineLevel="0" collapsed="false">
      <c r="A245" s="34" t="n">
        <v>2</v>
      </c>
      <c r="B245" s="35" t="s">
        <v>27</v>
      </c>
      <c r="C245" s="34" t="s">
        <v>447</v>
      </c>
      <c r="D245" s="36" t="s">
        <v>50</v>
      </c>
      <c r="E245" s="36" t="s">
        <v>51</v>
      </c>
      <c r="F245" s="37"/>
      <c r="G245" s="34" t="s">
        <v>46</v>
      </c>
      <c r="H245" s="38"/>
      <c r="I245" s="34" t="s">
        <v>47</v>
      </c>
      <c r="J245" s="34" t="s">
        <v>48</v>
      </c>
      <c r="K245" s="36"/>
      <c r="L245" s="34" t="s">
        <v>449</v>
      </c>
    </row>
    <row r="246" customFormat="false" ht="18" hidden="false" customHeight="true" outlineLevel="0" collapsed="false">
      <c r="A246" s="76" t="n">
        <v>3</v>
      </c>
      <c r="B246" s="77" t="s">
        <v>27</v>
      </c>
      <c r="C246" s="76" t="s">
        <v>447</v>
      </c>
      <c r="D246" s="78" t="s">
        <v>53</v>
      </c>
      <c r="E246" s="78" t="s">
        <v>51</v>
      </c>
      <c r="F246" s="79"/>
      <c r="G246" s="76" t="s">
        <v>46</v>
      </c>
      <c r="H246" s="80"/>
      <c r="I246" s="76" t="s">
        <v>47</v>
      </c>
      <c r="J246" s="76" t="s">
        <v>48</v>
      </c>
      <c r="K246" s="78"/>
      <c r="L246" s="76" t="s">
        <v>450</v>
      </c>
    </row>
    <row r="247" customFormat="false" ht="18" hidden="false" customHeight="true" outlineLevel="0" collapsed="false">
      <c r="A247" s="34" t="n">
        <v>4</v>
      </c>
      <c r="B247" s="35" t="s">
        <v>27</v>
      </c>
      <c r="C247" s="34" t="s">
        <v>447</v>
      </c>
      <c r="D247" s="36" t="s">
        <v>55</v>
      </c>
      <c r="E247" s="36" t="s">
        <v>56</v>
      </c>
      <c r="F247" s="37"/>
      <c r="G247" s="34" t="s">
        <v>46</v>
      </c>
      <c r="H247" s="38"/>
      <c r="I247" s="34" t="s">
        <v>47</v>
      </c>
      <c r="J247" s="34" t="s">
        <v>48</v>
      </c>
      <c r="K247" s="36"/>
      <c r="L247" s="34" t="s">
        <v>451</v>
      </c>
    </row>
    <row r="248" customFormat="false" ht="18" hidden="false" customHeight="true" outlineLevel="0" collapsed="false">
      <c r="A248" s="76" t="n">
        <v>5</v>
      </c>
      <c r="B248" s="77" t="s">
        <v>27</v>
      </c>
      <c r="C248" s="76" t="s">
        <v>447</v>
      </c>
      <c r="D248" s="78" t="s">
        <v>58</v>
      </c>
      <c r="E248" s="78" t="s">
        <v>59</v>
      </c>
      <c r="F248" s="79"/>
      <c r="G248" s="76" t="s">
        <v>46</v>
      </c>
      <c r="H248" s="80"/>
      <c r="I248" s="76" t="s">
        <v>47</v>
      </c>
      <c r="J248" s="76" t="s">
        <v>48</v>
      </c>
      <c r="K248" s="78"/>
      <c r="L248" s="76" t="s">
        <v>452</v>
      </c>
    </row>
    <row r="249" customFormat="false" ht="18" hidden="false" customHeight="true" outlineLevel="0" collapsed="false">
      <c r="A249" s="34" t="n">
        <v>6</v>
      </c>
      <c r="B249" s="35" t="s">
        <v>27</v>
      </c>
      <c r="C249" s="34" t="s">
        <v>447</v>
      </c>
      <c r="D249" s="36" t="s">
        <v>61</v>
      </c>
      <c r="E249" s="36" t="s">
        <v>59</v>
      </c>
      <c r="F249" s="37"/>
      <c r="G249" s="34" t="s">
        <v>46</v>
      </c>
      <c r="H249" s="38"/>
      <c r="I249" s="34" t="s">
        <v>47</v>
      </c>
      <c r="J249" s="34" t="s">
        <v>48</v>
      </c>
      <c r="K249" s="36"/>
      <c r="L249" s="34" t="s">
        <v>453</v>
      </c>
    </row>
    <row r="250" customFormat="false" ht="18" hidden="false" customHeight="true" outlineLevel="0" collapsed="false">
      <c r="A250" s="76" t="n">
        <v>7</v>
      </c>
      <c r="B250" s="77" t="s">
        <v>27</v>
      </c>
      <c r="C250" s="76" t="s">
        <v>447</v>
      </c>
      <c r="D250" s="78" t="s">
        <v>63</v>
      </c>
      <c r="E250" s="78" t="s">
        <v>64</v>
      </c>
      <c r="F250" s="79"/>
      <c r="G250" s="76" t="s">
        <v>46</v>
      </c>
      <c r="H250" s="80"/>
      <c r="I250" s="76" t="s">
        <v>47</v>
      </c>
      <c r="J250" s="76" t="s">
        <v>48</v>
      </c>
      <c r="K250" s="78"/>
      <c r="L250" s="76" t="s">
        <v>454</v>
      </c>
    </row>
    <row r="251" customFormat="false" ht="18" hidden="false" customHeight="true" outlineLevel="0" collapsed="false">
      <c r="A251" s="34" t="n">
        <v>8</v>
      </c>
      <c r="B251" s="35" t="s">
        <v>27</v>
      </c>
      <c r="C251" s="34" t="s">
        <v>447</v>
      </c>
      <c r="D251" s="36" t="s">
        <v>66</v>
      </c>
      <c r="E251" s="36" t="s">
        <v>64</v>
      </c>
      <c r="F251" s="37"/>
      <c r="G251" s="34" t="s">
        <v>46</v>
      </c>
      <c r="H251" s="38"/>
      <c r="I251" s="34" t="s">
        <v>47</v>
      </c>
      <c r="J251" s="34" t="s">
        <v>48</v>
      </c>
      <c r="K251" s="36"/>
      <c r="L251" s="34" t="s">
        <v>455</v>
      </c>
    </row>
    <row r="252" customFormat="false" ht="18" hidden="false" customHeight="true" outlineLevel="0" collapsed="false">
      <c r="A252" s="76" t="n">
        <v>9</v>
      </c>
      <c r="B252" s="77" t="s">
        <v>27</v>
      </c>
      <c r="C252" s="76" t="s">
        <v>447</v>
      </c>
      <c r="D252" s="78" t="s">
        <v>68</v>
      </c>
      <c r="E252" s="78" t="s">
        <v>69</v>
      </c>
      <c r="F252" s="79"/>
      <c r="G252" s="76" t="s">
        <v>46</v>
      </c>
      <c r="H252" s="80"/>
      <c r="I252" s="76" t="s">
        <v>47</v>
      </c>
      <c r="J252" s="76" t="s">
        <v>48</v>
      </c>
      <c r="K252" s="78"/>
      <c r="L252" s="76" t="s">
        <v>456</v>
      </c>
    </row>
    <row r="253" customFormat="false" ht="18" hidden="false" customHeight="true" outlineLevel="0" collapsed="false">
      <c r="A253" s="34" t="n">
        <v>10</v>
      </c>
      <c r="B253" s="35" t="s">
        <v>27</v>
      </c>
      <c r="C253" s="34" t="s">
        <v>447</v>
      </c>
      <c r="D253" s="36" t="s">
        <v>71</v>
      </c>
      <c r="E253" s="36" t="s">
        <v>72</v>
      </c>
      <c r="F253" s="37"/>
      <c r="G253" s="34" t="s">
        <v>46</v>
      </c>
      <c r="H253" s="38"/>
      <c r="I253" s="34" t="s">
        <v>47</v>
      </c>
      <c r="J253" s="34" t="s">
        <v>48</v>
      </c>
      <c r="K253" s="36"/>
      <c r="L253" s="34" t="s">
        <v>457</v>
      </c>
    </row>
    <row r="254" customFormat="false" ht="18" hidden="false" customHeight="true" outlineLevel="0" collapsed="false">
      <c r="A254" s="76" t="n">
        <v>11</v>
      </c>
      <c r="B254" s="77" t="s">
        <v>27</v>
      </c>
      <c r="C254" s="76" t="s">
        <v>447</v>
      </c>
      <c r="D254" s="78" t="s">
        <v>74</v>
      </c>
      <c r="E254" s="78" t="s">
        <v>75</v>
      </c>
      <c r="F254" s="79"/>
      <c r="G254" s="76" t="s">
        <v>46</v>
      </c>
      <c r="H254" s="80"/>
      <c r="I254" s="76" t="s">
        <v>47</v>
      </c>
      <c r="J254" s="76" t="s">
        <v>48</v>
      </c>
      <c r="K254" s="78"/>
      <c r="L254" s="76" t="s">
        <v>458</v>
      </c>
    </row>
    <row r="255" customFormat="false" ht="18" hidden="false" customHeight="true" outlineLevel="0" collapsed="false">
      <c r="A255" s="34" t="n">
        <v>12</v>
      </c>
      <c r="B255" s="35" t="s">
        <v>27</v>
      </c>
      <c r="C255" s="34" t="s">
        <v>447</v>
      </c>
      <c r="D255" s="36" t="s">
        <v>77</v>
      </c>
      <c r="E255" s="36" t="s">
        <v>78</v>
      </c>
      <c r="F255" s="37"/>
      <c r="G255" s="34" t="s">
        <v>46</v>
      </c>
      <c r="H255" s="38"/>
      <c r="I255" s="34" t="s">
        <v>47</v>
      </c>
      <c r="J255" s="34" t="s">
        <v>48</v>
      </c>
      <c r="K255" s="36"/>
      <c r="L255" s="34" t="s">
        <v>459</v>
      </c>
    </row>
    <row r="256" customFormat="false" ht="18" hidden="false" customHeight="true" outlineLevel="0" collapsed="false">
      <c r="A256" s="76" t="n">
        <v>13</v>
      </c>
      <c r="B256" s="77" t="s">
        <v>27</v>
      </c>
      <c r="C256" s="76" t="s">
        <v>447</v>
      </c>
      <c r="D256" s="78" t="s">
        <v>80</v>
      </c>
      <c r="E256" s="78" t="s">
        <v>81</v>
      </c>
      <c r="F256" s="79"/>
      <c r="G256" s="76" t="s">
        <v>46</v>
      </c>
      <c r="H256" s="80"/>
      <c r="I256" s="76" t="s">
        <v>47</v>
      </c>
      <c r="J256" s="76" t="s">
        <v>48</v>
      </c>
      <c r="K256" s="78"/>
      <c r="L256" s="76" t="s">
        <v>460</v>
      </c>
    </row>
    <row r="257" customFormat="false" ht="18" hidden="false" customHeight="true" outlineLevel="0" collapsed="false">
      <c r="A257" s="34" t="n">
        <v>14</v>
      </c>
      <c r="B257" s="35" t="s">
        <v>27</v>
      </c>
      <c r="C257" s="34" t="s">
        <v>447</v>
      </c>
      <c r="D257" s="36" t="s">
        <v>83</v>
      </c>
      <c r="E257" s="36" t="s">
        <v>84</v>
      </c>
      <c r="F257" s="37"/>
      <c r="G257" s="34" t="s">
        <v>46</v>
      </c>
      <c r="H257" s="38"/>
      <c r="I257" s="34" t="s">
        <v>47</v>
      </c>
      <c r="J257" s="34" t="s">
        <v>48</v>
      </c>
      <c r="K257" s="36"/>
      <c r="L257" s="34" t="s">
        <v>461</v>
      </c>
    </row>
    <row r="258" customFormat="false" ht="18" hidden="false" customHeight="true" outlineLevel="0" collapsed="false">
      <c r="A258" s="76" t="n">
        <v>15</v>
      </c>
      <c r="B258" s="77" t="s">
        <v>27</v>
      </c>
      <c r="C258" s="76" t="s">
        <v>447</v>
      </c>
      <c r="D258" s="78" t="s">
        <v>86</v>
      </c>
      <c r="E258" s="78" t="s">
        <v>87</v>
      </c>
      <c r="F258" s="79"/>
      <c r="G258" s="76" t="s">
        <v>46</v>
      </c>
      <c r="H258" s="80"/>
      <c r="I258" s="76" t="s">
        <v>47</v>
      </c>
      <c r="J258" s="76" t="s">
        <v>48</v>
      </c>
      <c r="K258" s="78"/>
      <c r="L258" s="76" t="s">
        <v>462</v>
      </c>
    </row>
    <row r="259" customFormat="false" ht="18" hidden="false" customHeight="true" outlineLevel="0" collapsed="false">
      <c r="A259" s="34" t="n">
        <v>16</v>
      </c>
      <c r="B259" s="35" t="s">
        <v>27</v>
      </c>
      <c r="C259" s="34" t="s">
        <v>447</v>
      </c>
      <c r="D259" s="36" t="s">
        <v>89</v>
      </c>
      <c r="E259" s="36" t="s">
        <v>90</v>
      </c>
      <c r="F259" s="37"/>
      <c r="G259" s="34" t="s">
        <v>46</v>
      </c>
      <c r="H259" s="38"/>
      <c r="I259" s="34" t="s">
        <v>47</v>
      </c>
      <c r="J259" s="34" t="s">
        <v>48</v>
      </c>
      <c r="K259" s="36"/>
      <c r="L259" s="34" t="s">
        <v>463</v>
      </c>
    </row>
    <row r="260" customFormat="false" ht="18" hidden="false" customHeight="true" outlineLevel="0" collapsed="false">
      <c r="A260" s="76" t="n">
        <v>17</v>
      </c>
      <c r="B260" s="77" t="s">
        <v>27</v>
      </c>
      <c r="C260" s="76" t="s">
        <v>447</v>
      </c>
      <c r="D260" s="78" t="s">
        <v>92</v>
      </c>
      <c r="E260" s="78" t="s">
        <v>93</v>
      </c>
      <c r="F260" s="79"/>
      <c r="G260" s="76" t="s">
        <v>46</v>
      </c>
      <c r="H260" s="80"/>
      <c r="I260" s="76" t="s">
        <v>47</v>
      </c>
      <c r="J260" s="76" t="s">
        <v>48</v>
      </c>
      <c r="K260" s="78"/>
      <c r="L260" s="76" t="s">
        <v>464</v>
      </c>
    </row>
    <row r="261" customFormat="false" ht="18" hidden="false" customHeight="true" outlineLevel="0" collapsed="false">
      <c r="A261" s="34" t="n">
        <v>18</v>
      </c>
      <c r="B261" s="35" t="s">
        <v>27</v>
      </c>
      <c r="C261" s="34" t="s">
        <v>447</v>
      </c>
      <c r="D261" s="36" t="s">
        <v>95</v>
      </c>
      <c r="E261" s="36" t="s">
        <v>96</v>
      </c>
      <c r="F261" s="37"/>
      <c r="G261" s="34" t="s">
        <v>46</v>
      </c>
      <c r="H261" s="38"/>
      <c r="I261" s="34" t="s">
        <v>47</v>
      </c>
      <c r="J261" s="34" t="s">
        <v>48</v>
      </c>
      <c r="K261" s="36"/>
      <c r="L261" s="34" t="s">
        <v>465</v>
      </c>
    </row>
    <row r="262" customFormat="false" ht="18" hidden="false" customHeight="true" outlineLevel="0" collapsed="false">
      <c r="A262" s="76" t="n">
        <v>19</v>
      </c>
      <c r="B262" s="77" t="s">
        <v>27</v>
      </c>
      <c r="C262" s="76" t="s">
        <v>447</v>
      </c>
      <c r="D262" s="78" t="s">
        <v>98</v>
      </c>
      <c r="E262" s="78" t="s">
        <v>69</v>
      </c>
      <c r="F262" s="79"/>
      <c r="G262" s="76" t="s">
        <v>46</v>
      </c>
      <c r="H262" s="80"/>
      <c r="I262" s="76" t="s">
        <v>47</v>
      </c>
      <c r="J262" s="76" t="s">
        <v>48</v>
      </c>
      <c r="K262" s="78"/>
      <c r="L262" s="76" t="s">
        <v>466</v>
      </c>
    </row>
    <row r="263" customFormat="false" ht="18" hidden="false" customHeight="true" outlineLevel="0" collapsed="false">
      <c r="A263" s="34" t="n">
        <v>20</v>
      </c>
      <c r="B263" s="35" t="s">
        <v>27</v>
      </c>
      <c r="C263" s="34" t="s">
        <v>447</v>
      </c>
      <c r="D263" s="36" t="s">
        <v>100</v>
      </c>
      <c r="E263" s="36" t="s">
        <v>101</v>
      </c>
      <c r="F263" s="37"/>
      <c r="G263" s="34" t="s">
        <v>46</v>
      </c>
      <c r="H263" s="38"/>
      <c r="I263" s="34" t="s">
        <v>47</v>
      </c>
      <c r="J263" s="34" t="s">
        <v>48</v>
      </c>
      <c r="K263" s="36"/>
      <c r="L263" s="34" t="s">
        <v>467</v>
      </c>
    </row>
    <row r="264" customFormat="false" ht="18" hidden="false" customHeight="true" outlineLevel="0" collapsed="false">
      <c r="A264" s="76" t="n">
        <v>21</v>
      </c>
      <c r="B264" s="77" t="s">
        <v>27</v>
      </c>
      <c r="C264" s="76" t="s">
        <v>447</v>
      </c>
      <c r="D264" s="78" t="s">
        <v>103</v>
      </c>
      <c r="E264" s="78" t="s">
        <v>84</v>
      </c>
      <c r="F264" s="79"/>
      <c r="G264" s="76" t="s">
        <v>46</v>
      </c>
      <c r="H264" s="80"/>
      <c r="I264" s="76" t="s">
        <v>47</v>
      </c>
      <c r="J264" s="76" t="s">
        <v>48</v>
      </c>
      <c r="K264" s="78"/>
      <c r="L264" s="76" t="s">
        <v>468</v>
      </c>
    </row>
    <row r="265" customFormat="false" ht="18" hidden="false" customHeight="true" outlineLevel="0" collapsed="false">
      <c r="A265" s="34" t="n">
        <v>22</v>
      </c>
      <c r="B265" s="35" t="s">
        <v>27</v>
      </c>
      <c r="C265" s="34" t="s">
        <v>447</v>
      </c>
      <c r="D265" s="36" t="s">
        <v>105</v>
      </c>
      <c r="E265" s="36" t="s">
        <v>106</v>
      </c>
      <c r="F265" s="37"/>
      <c r="G265" s="34" t="s">
        <v>46</v>
      </c>
      <c r="H265" s="38"/>
      <c r="I265" s="34" t="s">
        <v>47</v>
      </c>
      <c r="J265" s="34" t="s">
        <v>48</v>
      </c>
      <c r="K265" s="36"/>
      <c r="L265" s="34" t="s">
        <v>469</v>
      </c>
    </row>
    <row r="266" customFormat="false" ht="18" hidden="false" customHeight="true" outlineLevel="0" collapsed="false">
      <c r="A266" s="76" t="n">
        <v>23</v>
      </c>
      <c r="B266" s="77" t="s">
        <v>27</v>
      </c>
      <c r="C266" s="76" t="s">
        <v>447</v>
      </c>
      <c r="D266" s="78" t="s">
        <v>108</v>
      </c>
      <c r="E266" s="78" t="s">
        <v>109</v>
      </c>
      <c r="F266" s="79"/>
      <c r="G266" s="76" t="s">
        <v>46</v>
      </c>
      <c r="H266" s="80"/>
      <c r="I266" s="76" t="s">
        <v>47</v>
      </c>
      <c r="J266" s="76" t="s">
        <v>48</v>
      </c>
      <c r="K266" s="78"/>
      <c r="L266" s="76" t="s">
        <v>470</v>
      </c>
    </row>
    <row r="267" customFormat="false" ht="18" hidden="false" customHeight="true" outlineLevel="0" collapsed="false">
      <c r="A267" s="34" t="n">
        <v>24</v>
      </c>
      <c r="B267" s="35" t="s">
        <v>27</v>
      </c>
      <c r="C267" s="34" t="s">
        <v>447</v>
      </c>
      <c r="D267" s="36" t="s">
        <v>111</v>
      </c>
      <c r="E267" s="36" t="s">
        <v>96</v>
      </c>
      <c r="F267" s="37"/>
      <c r="G267" s="34" t="s">
        <v>46</v>
      </c>
      <c r="H267" s="38"/>
      <c r="I267" s="34" t="s">
        <v>47</v>
      </c>
      <c r="J267" s="34" t="s">
        <v>48</v>
      </c>
      <c r="K267" s="36"/>
      <c r="L267" s="34" t="s">
        <v>471</v>
      </c>
    </row>
    <row r="268" customFormat="false" ht="18" hidden="false" customHeight="true" outlineLevel="0" collapsed="false">
      <c r="A268" s="76" t="n">
        <v>25</v>
      </c>
      <c r="B268" s="77" t="s">
        <v>27</v>
      </c>
      <c r="C268" s="76" t="s">
        <v>447</v>
      </c>
      <c r="D268" s="78" t="s">
        <v>113</v>
      </c>
      <c r="E268" s="78" t="s">
        <v>96</v>
      </c>
      <c r="F268" s="79"/>
      <c r="G268" s="76" t="s">
        <v>46</v>
      </c>
      <c r="H268" s="80"/>
      <c r="I268" s="76" t="s">
        <v>47</v>
      </c>
      <c r="J268" s="76" t="s">
        <v>48</v>
      </c>
      <c r="K268" s="78"/>
      <c r="L268" s="76" t="s">
        <v>472</v>
      </c>
    </row>
    <row r="269" customFormat="false" ht="18" hidden="false" customHeight="true" outlineLevel="0" collapsed="false">
      <c r="A269" s="34" t="n">
        <v>26</v>
      </c>
      <c r="B269" s="35" t="s">
        <v>27</v>
      </c>
      <c r="C269" s="34" t="s">
        <v>447</v>
      </c>
      <c r="D269" s="36" t="s">
        <v>115</v>
      </c>
      <c r="E269" s="36" t="s">
        <v>96</v>
      </c>
      <c r="F269" s="37"/>
      <c r="G269" s="34" t="s">
        <v>46</v>
      </c>
      <c r="H269" s="38"/>
      <c r="I269" s="34" t="s">
        <v>47</v>
      </c>
      <c r="J269" s="34" t="s">
        <v>48</v>
      </c>
      <c r="K269" s="36"/>
      <c r="L269" s="34" t="s">
        <v>473</v>
      </c>
    </row>
    <row r="270" customFormat="false" ht="18" hidden="false" customHeight="true" outlineLevel="0" collapsed="false">
      <c r="A270" s="76" t="n">
        <v>27</v>
      </c>
      <c r="B270" s="77" t="s">
        <v>27</v>
      </c>
      <c r="C270" s="76" t="s">
        <v>447</v>
      </c>
      <c r="D270" s="78" t="s">
        <v>117</v>
      </c>
      <c r="E270" s="78" t="s">
        <v>118</v>
      </c>
      <c r="F270" s="79"/>
      <c r="G270" s="76" t="s">
        <v>46</v>
      </c>
      <c r="H270" s="80"/>
      <c r="I270" s="76" t="s">
        <v>47</v>
      </c>
      <c r="J270" s="76" t="s">
        <v>48</v>
      </c>
      <c r="K270" s="78"/>
      <c r="L270" s="76" t="s">
        <v>474</v>
      </c>
    </row>
    <row r="271" customFormat="false" ht="18" hidden="false" customHeight="true" outlineLevel="0" collapsed="false">
      <c r="A271" s="34" t="n">
        <v>28</v>
      </c>
      <c r="B271" s="35" t="s">
        <v>27</v>
      </c>
      <c r="C271" s="34" t="s">
        <v>447</v>
      </c>
      <c r="D271" s="36" t="s">
        <v>120</v>
      </c>
      <c r="E271" s="36" t="s">
        <v>106</v>
      </c>
      <c r="F271" s="37"/>
      <c r="G271" s="34" t="s">
        <v>46</v>
      </c>
      <c r="H271" s="38"/>
      <c r="I271" s="34" t="s">
        <v>47</v>
      </c>
      <c r="J271" s="34" t="s">
        <v>48</v>
      </c>
      <c r="K271" s="36"/>
      <c r="L271" s="34" t="s">
        <v>475</v>
      </c>
    </row>
    <row r="272" customFormat="false" ht="18" hidden="false" customHeight="true" outlineLevel="0" collapsed="false">
      <c r="A272" s="76" t="n">
        <v>29</v>
      </c>
      <c r="B272" s="77" t="s">
        <v>27</v>
      </c>
      <c r="C272" s="76" t="s">
        <v>447</v>
      </c>
      <c r="D272" s="78" t="s">
        <v>122</v>
      </c>
      <c r="E272" s="78" t="s">
        <v>51</v>
      </c>
      <c r="F272" s="79"/>
      <c r="G272" s="76" t="s">
        <v>46</v>
      </c>
      <c r="H272" s="80"/>
      <c r="I272" s="76" t="s">
        <v>47</v>
      </c>
      <c r="J272" s="76" t="s">
        <v>48</v>
      </c>
      <c r="K272" s="78"/>
      <c r="L272" s="76" t="s">
        <v>476</v>
      </c>
    </row>
    <row r="273" customFormat="false" ht="18" hidden="false" customHeight="true" outlineLevel="0" collapsed="false">
      <c r="A273" s="34" t="n">
        <v>30</v>
      </c>
      <c r="B273" s="35" t="s">
        <v>27</v>
      </c>
      <c r="C273" s="34" t="s">
        <v>447</v>
      </c>
      <c r="D273" s="36" t="s">
        <v>124</v>
      </c>
      <c r="E273" s="36" t="s">
        <v>96</v>
      </c>
      <c r="F273" s="37"/>
      <c r="G273" s="34" t="s">
        <v>46</v>
      </c>
      <c r="H273" s="38"/>
      <c r="I273" s="34" t="s">
        <v>47</v>
      </c>
      <c r="J273" s="34" t="s">
        <v>48</v>
      </c>
      <c r="K273" s="36"/>
      <c r="L273" s="34" t="s">
        <v>477</v>
      </c>
    </row>
    <row r="274" customFormat="false" ht="21.75" hidden="false" customHeight="true" outlineLevel="0" collapsed="false">
      <c r="A274" s="81" t="s">
        <v>478</v>
      </c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</row>
    <row r="275" customFormat="false" ht="18" hidden="false" customHeight="true" outlineLevel="0" collapsed="false">
      <c r="A275" s="82" t="n">
        <v>1</v>
      </c>
      <c r="B275" s="83" t="s">
        <v>28</v>
      </c>
      <c r="C275" s="82" t="s">
        <v>479</v>
      </c>
      <c r="D275" s="84" t="s">
        <v>44</v>
      </c>
      <c r="E275" s="84" t="s">
        <v>45</v>
      </c>
      <c r="F275" s="85"/>
      <c r="G275" s="82" t="s">
        <v>46</v>
      </c>
      <c r="H275" s="86"/>
      <c r="I275" s="82" t="s">
        <v>47</v>
      </c>
      <c r="J275" s="82" t="s">
        <v>48</v>
      </c>
      <c r="K275" s="84"/>
      <c r="L275" s="82" t="s">
        <v>480</v>
      </c>
    </row>
    <row r="276" customFormat="false" ht="18" hidden="false" customHeight="true" outlineLevel="0" collapsed="false">
      <c r="A276" s="34" t="n">
        <v>2</v>
      </c>
      <c r="B276" s="35" t="s">
        <v>28</v>
      </c>
      <c r="C276" s="34" t="s">
        <v>479</v>
      </c>
      <c r="D276" s="36" t="s">
        <v>50</v>
      </c>
      <c r="E276" s="36" t="s">
        <v>51</v>
      </c>
      <c r="F276" s="37"/>
      <c r="G276" s="34" t="s">
        <v>46</v>
      </c>
      <c r="H276" s="38"/>
      <c r="I276" s="34" t="s">
        <v>47</v>
      </c>
      <c r="J276" s="34" t="s">
        <v>48</v>
      </c>
      <c r="K276" s="36"/>
      <c r="L276" s="34" t="s">
        <v>481</v>
      </c>
    </row>
    <row r="277" customFormat="false" ht="18" hidden="false" customHeight="true" outlineLevel="0" collapsed="false">
      <c r="A277" s="82" t="n">
        <v>3</v>
      </c>
      <c r="B277" s="83" t="s">
        <v>28</v>
      </c>
      <c r="C277" s="82" t="s">
        <v>479</v>
      </c>
      <c r="D277" s="84" t="s">
        <v>53</v>
      </c>
      <c r="E277" s="84" t="s">
        <v>51</v>
      </c>
      <c r="F277" s="85"/>
      <c r="G277" s="82" t="s">
        <v>46</v>
      </c>
      <c r="H277" s="86"/>
      <c r="I277" s="82" t="s">
        <v>47</v>
      </c>
      <c r="J277" s="82" t="s">
        <v>48</v>
      </c>
      <c r="K277" s="84"/>
      <c r="L277" s="82" t="s">
        <v>482</v>
      </c>
    </row>
    <row r="278" customFormat="false" ht="18" hidden="false" customHeight="true" outlineLevel="0" collapsed="false">
      <c r="A278" s="34" t="n">
        <v>4</v>
      </c>
      <c r="B278" s="35" t="s">
        <v>28</v>
      </c>
      <c r="C278" s="34" t="s">
        <v>479</v>
      </c>
      <c r="D278" s="36" t="s">
        <v>55</v>
      </c>
      <c r="E278" s="36" t="s">
        <v>56</v>
      </c>
      <c r="F278" s="37"/>
      <c r="G278" s="34" t="s">
        <v>46</v>
      </c>
      <c r="H278" s="38"/>
      <c r="I278" s="34" t="s">
        <v>47</v>
      </c>
      <c r="J278" s="34" t="s">
        <v>48</v>
      </c>
      <c r="K278" s="36"/>
      <c r="L278" s="34" t="s">
        <v>483</v>
      </c>
    </row>
    <row r="279" customFormat="false" ht="18" hidden="false" customHeight="true" outlineLevel="0" collapsed="false">
      <c r="A279" s="82" t="n">
        <v>5</v>
      </c>
      <c r="B279" s="83" t="s">
        <v>28</v>
      </c>
      <c r="C279" s="82" t="s">
        <v>479</v>
      </c>
      <c r="D279" s="84" t="s">
        <v>58</v>
      </c>
      <c r="E279" s="84" t="s">
        <v>59</v>
      </c>
      <c r="F279" s="85"/>
      <c r="G279" s="82" t="s">
        <v>46</v>
      </c>
      <c r="H279" s="86"/>
      <c r="I279" s="82" t="s">
        <v>47</v>
      </c>
      <c r="J279" s="82" t="s">
        <v>48</v>
      </c>
      <c r="K279" s="84"/>
      <c r="L279" s="82" t="s">
        <v>484</v>
      </c>
    </row>
    <row r="280" customFormat="false" ht="18" hidden="false" customHeight="true" outlineLevel="0" collapsed="false">
      <c r="A280" s="34" t="n">
        <v>6</v>
      </c>
      <c r="B280" s="35" t="s">
        <v>28</v>
      </c>
      <c r="C280" s="34" t="s">
        <v>479</v>
      </c>
      <c r="D280" s="36" t="s">
        <v>61</v>
      </c>
      <c r="E280" s="36" t="s">
        <v>59</v>
      </c>
      <c r="F280" s="37"/>
      <c r="G280" s="34" t="s">
        <v>46</v>
      </c>
      <c r="H280" s="38"/>
      <c r="I280" s="34" t="s">
        <v>47</v>
      </c>
      <c r="J280" s="34" t="s">
        <v>48</v>
      </c>
      <c r="K280" s="36"/>
      <c r="L280" s="34" t="s">
        <v>485</v>
      </c>
    </row>
    <row r="281" customFormat="false" ht="18" hidden="false" customHeight="true" outlineLevel="0" collapsed="false">
      <c r="A281" s="82" t="n">
        <v>7</v>
      </c>
      <c r="B281" s="83" t="s">
        <v>28</v>
      </c>
      <c r="C281" s="82" t="s">
        <v>479</v>
      </c>
      <c r="D281" s="84" t="s">
        <v>63</v>
      </c>
      <c r="E281" s="84" t="s">
        <v>64</v>
      </c>
      <c r="F281" s="85"/>
      <c r="G281" s="82" t="s">
        <v>46</v>
      </c>
      <c r="H281" s="86"/>
      <c r="I281" s="82" t="s">
        <v>47</v>
      </c>
      <c r="J281" s="82" t="s">
        <v>48</v>
      </c>
      <c r="K281" s="84"/>
      <c r="L281" s="82" t="s">
        <v>486</v>
      </c>
    </row>
    <row r="282" customFormat="false" ht="18" hidden="false" customHeight="true" outlineLevel="0" collapsed="false">
      <c r="A282" s="34" t="n">
        <v>8</v>
      </c>
      <c r="B282" s="35" t="s">
        <v>28</v>
      </c>
      <c r="C282" s="34" t="s">
        <v>479</v>
      </c>
      <c r="D282" s="36" t="s">
        <v>66</v>
      </c>
      <c r="E282" s="36" t="s">
        <v>64</v>
      </c>
      <c r="F282" s="37"/>
      <c r="G282" s="34" t="s">
        <v>46</v>
      </c>
      <c r="H282" s="38"/>
      <c r="I282" s="34" t="s">
        <v>47</v>
      </c>
      <c r="J282" s="34" t="s">
        <v>48</v>
      </c>
      <c r="K282" s="36"/>
      <c r="L282" s="34" t="s">
        <v>487</v>
      </c>
    </row>
    <row r="283" customFormat="false" ht="18" hidden="false" customHeight="true" outlineLevel="0" collapsed="false">
      <c r="A283" s="82" t="n">
        <v>9</v>
      </c>
      <c r="B283" s="83" t="s">
        <v>28</v>
      </c>
      <c r="C283" s="82" t="s">
        <v>479</v>
      </c>
      <c r="D283" s="84" t="s">
        <v>68</v>
      </c>
      <c r="E283" s="84" t="s">
        <v>69</v>
      </c>
      <c r="F283" s="85"/>
      <c r="G283" s="82" t="s">
        <v>46</v>
      </c>
      <c r="H283" s="86"/>
      <c r="I283" s="82" t="s">
        <v>47</v>
      </c>
      <c r="J283" s="82" t="s">
        <v>48</v>
      </c>
      <c r="K283" s="84"/>
      <c r="L283" s="82" t="s">
        <v>488</v>
      </c>
    </row>
    <row r="284" customFormat="false" ht="18" hidden="false" customHeight="true" outlineLevel="0" collapsed="false">
      <c r="A284" s="34" t="n">
        <v>10</v>
      </c>
      <c r="B284" s="35" t="s">
        <v>28</v>
      </c>
      <c r="C284" s="34" t="s">
        <v>479</v>
      </c>
      <c r="D284" s="36" t="s">
        <v>71</v>
      </c>
      <c r="E284" s="36" t="s">
        <v>72</v>
      </c>
      <c r="F284" s="37"/>
      <c r="G284" s="34" t="s">
        <v>46</v>
      </c>
      <c r="H284" s="38"/>
      <c r="I284" s="34" t="s">
        <v>47</v>
      </c>
      <c r="J284" s="34" t="s">
        <v>48</v>
      </c>
      <c r="K284" s="36"/>
      <c r="L284" s="34" t="s">
        <v>489</v>
      </c>
    </row>
    <row r="285" customFormat="false" ht="18" hidden="false" customHeight="true" outlineLevel="0" collapsed="false">
      <c r="A285" s="82" t="n">
        <v>11</v>
      </c>
      <c r="B285" s="83" t="s">
        <v>28</v>
      </c>
      <c r="C285" s="82" t="s">
        <v>479</v>
      </c>
      <c r="D285" s="84" t="s">
        <v>74</v>
      </c>
      <c r="E285" s="84" t="s">
        <v>75</v>
      </c>
      <c r="F285" s="85"/>
      <c r="G285" s="82" t="s">
        <v>46</v>
      </c>
      <c r="H285" s="86"/>
      <c r="I285" s="82" t="s">
        <v>47</v>
      </c>
      <c r="J285" s="82" t="s">
        <v>48</v>
      </c>
      <c r="K285" s="84"/>
      <c r="L285" s="82" t="s">
        <v>490</v>
      </c>
    </row>
    <row r="286" customFormat="false" ht="18" hidden="false" customHeight="true" outlineLevel="0" collapsed="false">
      <c r="A286" s="34" t="n">
        <v>12</v>
      </c>
      <c r="B286" s="35" t="s">
        <v>28</v>
      </c>
      <c r="C286" s="34" t="s">
        <v>479</v>
      </c>
      <c r="D286" s="36" t="s">
        <v>77</v>
      </c>
      <c r="E286" s="36" t="s">
        <v>78</v>
      </c>
      <c r="F286" s="37"/>
      <c r="G286" s="34" t="s">
        <v>46</v>
      </c>
      <c r="H286" s="38"/>
      <c r="I286" s="34" t="s">
        <v>47</v>
      </c>
      <c r="J286" s="34" t="s">
        <v>48</v>
      </c>
      <c r="K286" s="36"/>
      <c r="L286" s="34" t="s">
        <v>491</v>
      </c>
    </row>
    <row r="287" customFormat="false" ht="18" hidden="false" customHeight="true" outlineLevel="0" collapsed="false">
      <c r="A287" s="82" t="n">
        <v>13</v>
      </c>
      <c r="B287" s="83" t="s">
        <v>28</v>
      </c>
      <c r="C287" s="82" t="s">
        <v>479</v>
      </c>
      <c r="D287" s="84" t="s">
        <v>80</v>
      </c>
      <c r="E287" s="84" t="s">
        <v>81</v>
      </c>
      <c r="F287" s="85"/>
      <c r="G287" s="82" t="s">
        <v>46</v>
      </c>
      <c r="H287" s="86"/>
      <c r="I287" s="82" t="s">
        <v>47</v>
      </c>
      <c r="J287" s="82" t="s">
        <v>48</v>
      </c>
      <c r="K287" s="84"/>
      <c r="L287" s="82" t="s">
        <v>492</v>
      </c>
    </row>
    <row r="288" customFormat="false" ht="18" hidden="false" customHeight="true" outlineLevel="0" collapsed="false">
      <c r="A288" s="34" t="n">
        <v>14</v>
      </c>
      <c r="B288" s="35" t="s">
        <v>28</v>
      </c>
      <c r="C288" s="34" t="s">
        <v>479</v>
      </c>
      <c r="D288" s="36" t="s">
        <v>83</v>
      </c>
      <c r="E288" s="36" t="s">
        <v>84</v>
      </c>
      <c r="F288" s="37"/>
      <c r="G288" s="34" t="s">
        <v>46</v>
      </c>
      <c r="H288" s="38"/>
      <c r="I288" s="34" t="s">
        <v>47</v>
      </c>
      <c r="J288" s="34" t="s">
        <v>48</v>
      </c>
      <c r="K288" s="36"/>
      <c r="L288" s="34" t="s">
        <v>493</v>
      </c>
    </row>
    <row r="289" customFormat="false" ht="18" hidden="false" customHeight="true" outlineLevel="0" collapsed="false">
      <c r="A289" s="82" t="n">
        <v>15</v>
      </c>
      <c r="B289" s="83" t="s">
        <v>28</v>
      </c>
      <c r="C289" s="82" t="s">
        <v>479</v>
      </c>
      <c r="D289" s="84" t="s">
        <v>86</v>
      </c>
      <c r="E289" s="84" t="s">
        <v>87</v>
      </c>
      <c r="F289" s="85"/>
      <c r="G289" s="82" t="s">
        <v>46</v>
      </c>
      <c r="H289" s="86"/>
      <c r="I289" s="82" t="s">
        <v>47</v>
      </c>
      <c r="J289" s="82" t="s">
        <v>48</v>
      </c>
      <c r="K289" s="84"/>
      <c r="L289" s="82" t="s">
        <v>494</v>
      </c>
    </row>
    <row r="290" customFormat="false" ht="18" hidden="false" customHeight="true" outlineLevel="0" collapsed="false">
      <c r="A290" s="34" t="n">
        <v>16</v>
      </c>
      <c r="B290" s="35" t="s">
        <v>28</v>
      </c>
      <c r="C290" s="34" t="s">
        <v>479</v>
      </c>
      <c r="D290" s="36" t="s">
        <v>89</v>
      </c>
      <c r="E290" s="36" t="s">
        <v>90</v>
      </c>
      <c r="F290" s="37"/>
      <c r="G290" s="34" t="s">
        <v>46</v>
      </c>
      <c r="H290" s="38"/>
      <c r="I290" s="34" t="s">
        <v>47</v>
      </c>
      <c r="J290" s="34" t="s">
        <v>48</v>
      </c>
      <c r="K290" s="36"/>
      <c r="L290" s="34" t="s">
        <v>495</v>
      </c>
    </row>
    <row r="291" customFormat="false" ht="18" hidden="false" customHeight="true" outlineLevel="0" collapsed="false">
      <c r="A291" s="82" t="n">
        <v>17</v>
      </c>
      <c r="B291" s="83" t="s">
        <v>28</v>
      </c>
      <c r="C291" s="82" t="s">
        <v>479</v>
      </c>
      <c r="D291" s="84" t="s">
        <v>92</v>
      </c>
      <c r="E291" s="84" t="s">
        <v>93</v>
      </c>
      <c r="F291" s="85"/>
      <c r="G291" s="82" t="s">
        <v>46</v>
      </c>
      <c r="H291" s="86"/>
      <c r="I291" s="82" t="s">
        <v>47</v>
      </c>
      <c r="J291" s="82" t="s">
        <v>48</v>
      </c>
      <c r="K291" s="84"/>
      <c r="L291" s="82" t="s">
        <v>496</v>
      </c>
    </row>
    <row r="292" customFormat="false" ht="18" hidden="false" customHeight="true" outlineLevel="0" collapsed="false">
      <c r="A292" s="34" t="n">
        <v>18</v>
      </c>
      <c r="B292" s="35" t="s">
        <v>28</v>
      </c>
      <c r="C292" s="34" t="s">
        <v>479</v>
      </c>
      <c r="D292" s="36" t="s">
        <v>95</v>
      </c>
      <c r="E292" s="36" t="s">
        <v>96</v>
      </c>
      <c r="F292" s="37"/>
      <c r="G292" s="34" t="s">
        <v>46</v>
      </c>
      <c r="H292" s="38"/>
      <c r="I292" s="34" t="s">
        <v>47</v>
      </c>
      <c r="J292" s="34" t="s">
        <v>48</v>
      </c>
      <c r="K292" s="36"/>
      <c r="L292" s="34" t="s">
        <v>497</v>
      </c>
    </row>
    <row r="293" customFormat="false" ht="18" hidden="false" customHeight="true" outlineLevel="0" collapsed="false">
      <c r="A293" s="82" t="n">
        <v>19</v>
      </c>
      <c r="B293" s="83" t="s">
        <v>28</v>
      </c>
      <c r="C293" s="82" t="s">
        <v>479</v>
      </c>
      <c r="D293" s="84" t="s">
        <v>98</v>
      </c>
      <c r="E293" s="84" t="s">
        <v>69</v>
      </c>
      <c r="F293" s="85"/>
      <c r="G293" s="82" t="s">
        <v>46</v>
      </c>
      <c r="H293" s="86"/>
      <c r="I293" s="82" t="s">
        <v>47</v>
      </c>
      <c r="J293" s="82" t="s">
        <v>48</v>
      </c>
      <c r="K293" s="84"/>
      <c r="L293" s="82" t="s">
        <v>498</v>
      </c>
    </row>
    <row r="294" customFormat="false" ht="18" hidden="false" customHeight="true" outlineLevel="0" collapsed="false">
      <c r="A294" s="34" t="n">
        <v>20</v>
      </c>
      <c r="B294" s="35" t="s">
        <v>28</v>
      </c>
      <c r="C294" s="34" t="s">
        <v>479</v>
      </c>
      <c r="D294" s="36" t="s">
        <v>100</v>
      </c>
      <c r="E294" s="36" t="s">
        <v>101</v>
      </c>
      <c r="F294" s="37"/>
      <c r="G294" s="34" t="s">
        <v>46</v>
      </c>
      <c r="H294" s="38"/>
      <c r="I294" s="34" t="s">
        <v>47</v>
      </c>
      <c r="J294" s="34" t="s">
        <v>48</v>
      </c>
      <c r="K294" s="36"/>
      <c r="L294" s="34" t="s">
        <v>499</v>
      </c>
    </row>
    <row r="295" customFormat="false" ht="18" hidden="false" customHeight="true" outlineLevel="0" collapsed="false">
      <c r="A295" s="82" t="n">
        <v>21</v>
      </c>
      <c r="B295" s="83" t="s">
        <v>28</v>
      </c>
      <c r="C295" s="82" t="s">
        <v>479</v>
      </c>
      <c r="D295" s="84" t="s">
        <v>103</v>
      </c>
      <c r="E295" s="84" t="s">
        <v>84</v>
      </c>
      <c r="F295" s="85"/>
      <c r="G295" s="82" t="s">
        <v>46</v>
      </c>
      <c r="H295" s="86"/>
      <c r="I295" s="82" t="s">
        <v>47</v>
      </c>
      <c r="J295" s="82" t="s">
        <v>48</v>
      </c>
      <c r="K295" s="84"/>
      <c r="L295" s="82" t="s">
        <v>500</v>
      </c>
    </row>
    <row r="296" customFormat="false" ht="18" hidden="false" customHeight="true" outlineLevel="0" collapsed="false">
      <c r="A296" s="34" t="n">
        <v>22</v>
      </c>
      <c r="B296" s="35" t="s">
        <v>28</v>
      </c>
      <c r="C296" s="34" t="s">
        <v>479</v>
      </c>
      <c r="D296" s="36" t="s">
        <v>105</v>
      </c>
      <c r="E296" s="36" t="s">
        <v>106</v>
      </c>
      <c r="F296" s="37"/>
      <c r="G296" s="34" t="s">
        <v>46</v>
      </c>
      <c r="H296" s="38"/>
      <c r="I296" s="34" t="s">
        <v>47</v>
      </c>
      <c r="J296" s="34" t="s">
        <v>48</v>
      </c>
      <c r="K296" s="36"/>
      <c r="L296" s="34" t="s">
        <v>501</v>
      </c>
    </row>
    <row r="297" customFormat="false" ht="18" hidden="false" customHeight="true" outlineLevel="0" collapsed="false">
      <c r="A297" s="82" t="n">
        <v>23</v>
      </c>
      <c r="B297" s="83" t="s">
        <v>28</v>
      </c>
      <c r="C297" s="82" t="s">
        <v>479</v>
      </c>
      <c r="D297" s="84" t="s">
        <v>108</v>
      </c>
      <c r="E297" s="84" t="s">
        <v>109</v>
      </c>
      <c r="F297" s="85"/>
      <c r="G297" s="82" t="s">
        <v>46</v>
      </c>
      <c r="H297" s="86"/>
      <c r="I297" s="82" t="s">
        <v>47</v>
      </c>
      <c r="J297" s="82" t="s">
        <v>48</v>
      </c>
      <c r="K297" s="84"/>
      <c r="L297" s="82" t="s">
        <v>502</v>
      </c>
    </row>
    <row r="298" customFormat="false" ht="18" hidden="false" customHeight="true" outlineLevel="0" collapsed="false">
      <c r="A298" s="34" t="n">
        <v>24</v>
      </c>
      <c r="B298" s="35" t="s">
        <v>28</v>
      </c>
      <c r="C298" s="34" t="s">
        <v>479</v>
      </c>
      <c r="D298" s="36" t="s">
        <v>111</v>
      </c>
      <c r="E298" s="36" t="s">
        <v>96</v>
      </c>
      <c r="F298" s="37"/>
      <c r="G298" s="34" t="s">
        <v>46</v>
      </c>
      <c r="H298" s="38"/>
      <c r="I298" s="34" t="s">
        <v>47</v>
      </c>
      <c r="J298" s="34" t="s">
        <v>48</v>
      </c>
      <c r="K298" s="36"/>
      <c r="L298" s="34" t="s">
        <v>503</v>
      </c>
    </row>
    <row r="299" customFormat="false" ht="18" hidden="false" customHeight="true" outlineLevel="0" collapsed="false">
      <c r="A299" s="82" t="n">
        <v>25</v>
      </c>
      <c r="B299" s="83" t="s">
        <v>28</v>
      </c>
      <c r="C299" s="82" t="s">
        <v>479</v>
      </c>
      <c r="D299" s="84" t="s">
        <v>113</v>
      </c>
      <c r="E299" s="84" t="s">
        <v>96</v>
      </c>
      <c r="F299" s="85"/>
      <c r="G299" s="82" t="s">
        <v>46</v>
      </c>
      <c r="H299" s="86"/>
      <c r="I299" s="82" t="s">
        <v>47</v>
      </c>
      <c r="J299" s="82" t="s">
        <v>48</v>
      </c>
      <c r="K299" s="84"/>
      <c r="L299" s="82" t="s">
        <v>504</v>
      </c>
    </row>
    <row r="300" customFormat="false" ht="18" hidden="false" customHeight="true" outlineLevel="0" collapsed="false">
      <c r="A300" s="34" t="n">
        <v>26</v>
      </c>
      <c r="B300" s="35" t="s">
        <v>28</v>
      </c>
      <c r="C300" s="34" t="s">
        <v>479</v>
      </c>
      <c r="D300" s="36" t="s">
        <v>115</v>
      </c>
      <c r="E300" s="36" t="s">
        <v>96</v>
      </c>
      <c r="F300" s="37"/>
      <c r="G300" s="34" t="s">
        <v>46</v>
      </c>
      <c r="H300" s="38"/>
      <c r="I300" s="34" t="s">
        <v>47</v>
      </c>
      <c r="J300" s="34" t="s">
        <v>48</v>
      </c>
      <c r="K300" s="36"/>
      <c r="L300" s="34" t="s">
        <v>505</v>
      </c>
    </row>
    <row r="301" customFormat="false" ht="18" hidden="false" customHeight="true" outlineLevel="0" collapsed="false">
      <c r="A301" s="82" t="n">
        <v>27</v>
      </c>
      <c r="B301" s="83" t="s">
        <v>28</v>
      </c>
      <c r="C301" s="82" t="s">
        <v>479</v>
      </c>
      <c r="D301" s="84" t="s">
        <v>117</v>
      </c>
      <c r="E301" s="84" t="s">
        <v>118</v>
      </c>
      <c r="F301" s="85"/>
      <c r="G301" s="82" t="s">
        <v>46</v>
      </c>
      <c r="H301" s="86"/>
      <c r="I301" s="82" t="s">
        <v>47</v>
      </c>
      <c r="J301" s="82" t="s">
        <v>48</v>
      </c>
      <c r="K301" s="84"/>
      <c r="L301" s="82" t="s">
        <v>506</v>
      </c>
    </row>
    <row r="302" customFormat="false" ht="18" hidden="false" customHeight="true" outlineLevel="0" collapsed="false">
      <c r="A302" s="34" t="n">
        <v>28</v>
      </c>
      <c r="B302" s="35" t="s">
        <v>28</v>
      </c>
      <c r="C302" s="34" t="s">
        <v>479</v>
      </c>
      <c r="D302" s="36" t="s">
        <v>120</v>
      </c>
      <c r="E302" s="36" t="s">
        <v>106</v>
      </c>
      <c r="F302" s="37"/>
      <c r="G302" s="34" t="s">
        <v>46</v>
      </c>
      <c r="H302" s="38"/>
      <c r="I302" s="34" t="s">
        <v>47</v>
      </c>
      <c r="J302" s="34" t="s">
        <v>48</v>
      </c>
      <c r="K302" s="36"/>
      <c r="L302" s="34" t="s">
        <v>507</v>
      </c>
    </row>
    <row r="303" customFormat="false" ht="18" hidden="false" customHeight="true" outlineLevel="0" collapsed="false">
      <c r="A303" s="82" t="n">
        <v>29</v>
      </c>
      <c r="B303" s="83" t="s">
        <v>28</v>
      </c>
      <c r="C303" s="82" t="s">
        <v>479</v>
      </c>
      <c r="D303" s="84" t="s">
        <v>122</v>
      </c>
      <c r="E303" s="84" t="s">
        <v>51</v>
      </c>
      <c r="F303" s="85"/>
      <c r="G303" s="82" t="s">
        <v>46</v>
      </c>
      <c r="H303" s="86"/>
      <c r="I303" s="82" t="s">
        <v>47</v>
      </c>
      <c r="J303" s="82" t="s">
        <v>48</v>
      </c>
      <c r="K303" s="84"/>
      <c r="L303" s="82" t="s">
        <v>508</v>
      </c>
    </row>
    <row r="304" customFormat="false" ht="18" hidden="false" customHeight="true" outlineLevel="0" collapsed="false">
      <c r="A304" s="34" t="n">
        <v>30</v>
      </c>
      <c r="B304" s="35" t="s">
        <v>28</v>
      </c>
      <c r="C304" s="34" t="s">
        <v>479</v>
      </c>
      <c r="D304" s="36" t="s">
        <v>124</v>
      </c>
      <c r="E304" s="36" t="s">
        <v>96</v>
      </c>
      <c r="F304" s="37"/>
      <c r="G304" s="34" t="s">
        <v>46</v>
      </c>
      <c r="H304" s="38"/>
      <c r="I304" s="34" t="s">
        <v>47</v>
      </c>
      <c r="J304" s="34" t="s">
        <v>48</v>
      </c>
      <c r="K304" s="36"/>
      <c r="L304" s="34" t="s">
        <v>509</v>
      </c>
    </row>
    <row r="305" customFormat="false" ht="21.75" hidden="false" customHeight="true" outlineLevel="0" collapsed="false">
      <c r="A305" s="87" t="s">
        <v>510</v>
      </c>
      <c r="B305" s="87"/>
      <c r="C305" s="87"/>
      <c r="D305" s="87"/>
      <c r="E305" s="87"/>
      <c r="F305" s="87"/>
      <c r="G305" s="87"/>
      <c r="H305" s="87"/>
      <c r="I305" s="87"/>
      <c r="J305" s="87"/>
      <c r="K305" s="87"/>
      <c r="L305" s="87"/>
    </row>
    <row r="306" customFormat="false" ht="18" hidden="false" customHeight="true" outlineLevel="0" collapsed="false">
      <c r="A306" s="88" t="n">
        <v>1</v>
      </c>
      <c r="B306" s="89" t="s">
        <v>29</v>
      </c>
      <c r="C306" s="88" t="s">
        <v>511</v>
      </c>
      <c r="D306" s="90" t="s">
        <v>44</v>
      </c>
      <c r="E306" s="90" t="s">
        <v>45</v>
      </c>
      <c r="F306" s="91"/>
      <c r="G306" s="88" t="s">
        <v>46</v>
      </c>
      <c r="H306" s="92"/>
      <c r="I306" s="88" t="s">
        <v>47</v>
      </c>
      <c r="J306" s="88" t="s">
        <v>48</v>
      </c>
      <c r="K306" s="90"/>
      <c r="L306" s="88" t="s">
        <v>512</v>
      </c>
    </row>
    <row r="307" customFormat="false" ht="18" hidden="false" customHeight="true" outlineLevel="0" collapsed="false">
      <c r="A307" s="34" t="n">
        <v>2</v>
      </c>
      <c r="B307" s="35" t="s">
        <v>29</v>
      </c>
      <c r="C307" s="34" t="s">
        <v>511</v>
      </c>
      <c r="D307" s="36" t="s">
        <v>50</v>
      </c>
      <c r="E307" s="36" t="s">
        <v>51</v>
      </c>
      <c r="F307" s="37"/>
      <c r="G307" s="34" t="s">
        <v>46</v>
      </c>
      <c r="H307" s="38"/>
      <c r="I307" s="34" t="s">
        <v>47</v>
      </c>
      <c r="J307" s="34" t="s">
        <v>48</v>
      </c>
      <c r="K307" s="36"/>
      <c r="L307" s="34" t="s">
        <v>513</v>
      </c>
    </row>
    <row r="308" customFormat="false" ht="18" hidden="false" customHeight="true" outlineLevel="0" collapsed="false">
      <c r="A308" s="88" t="n">
        <v>3</v>
      </c>
      <c r="B308" s="89" t="s">
        <v>29</v>
      </c>
      <c r="C308" s="88" t="s">
        <v>511</v>
      </c>
      <c r="D308" s="90" t="s">
        <v>53</v>
      </c>
      <c r="E308" s="90" t="s">
        <v>51</v>
      </c>
      <c r="F308" s="91"/>
      <c r="G308" s="88" t="s">
        <v>46</v>
      </c>
      <c r="H308" s="92"/>
      <c r="I308" s="88" t="s">
        <v>47</v>
      </c>
      <c r="J308" s="88" t="s">
        <v>48</v>
      </c>
      <c r="K308" s="90"/>
      <c r="L308" s="88" t="s">
        <v>514</v>
      </c>
    </row>
    <row r="309" customFormat="false" ht="18" hidden="false" customHeight="true" outlineLevel="0" collapsed="false">
      <c r="A309" s="34" t="n">
        <v>4</v>
      </c>
      <c r="B309" s="35" t="s">
        <v>29</v>
      </c>
      <c r="C309" s="34" t="s">
        <v>511</v>
      </c>
      <c r="D309" s="36" t="s">
        <v>55</v>
      </c>
      <c r="E309" s="36" t="s">
        <v>56</v>
      </c>
      <c r="F309" s="37"/>
      <c r="G309" s="34" t="s">
        <v>46</v>
      </c>
      <c r="H309" s="38"/>
      <c r="I309" s="34" t="s">
        <v>47</v>
      </c>
      <c r="J309" s="34" t="s">
        <v>48</v>
      </c>
      <c r="K309" s="36"/>
      <c r="L309" s="34" t="s">
        <v>515</v>
      </c>
    </row>
    <row r="310" customFormat="false" ht="18" hidden="false" customHeight="true" outlineLevel="0" collapsed="false">
      <c r="A310" s="88" t="n">
        <v>5</v>
      </c>
      <c r="B310" s="89" t="s">
        <v>29</v>
      </c>
      <c r="C310" s="88" t="s">
        <v>511</v>
      </c>
      <c r="D310" s="90" t="s">
        <v>58</v>
      </c>
      <c r="E310" s="90" t="s">
        <v>59</v>
      </c>
      <c r="F310" s="91"/>
      <c r="G310" s="88" t="s">
        <v>46</v>
      </c>
      <c r="H310" s="92"/>
      <c r="I310" s="88" t="s">
        <v>47</v>
      </c>
      <c r="J310" s="88" t="s">
        <v>48</v>
      </c>
      <c r="K310" s="90"/>
      <c r="L310" s="88" t="s">
        <v>516</v>
      </c>
    </row>
    <row r="311" customFormat="false" ht="18" hidden="false" customHeight="true" outlineLevel="0" collapsed="false">
      <c r="A311" s="34" t="n">
        <v>6</v>
      </c>
      <c r="B311" s="35" t="s">
        <v>29</v>
      </c>
      <c r="C311" s="34" t="s">
        <v>511</v>
      </c>
      <c r="D311" s="36" t="s">
        <v>61</v>
      </c>
      <c r="E311" s="36" t="s">
        <v>59</v>
      </c>
      <c r="F311" s="37"/>
      <c r="G311" s="34" t="s">
        <v>46</v>
      </c>
      <c r="H311" s="38"/>
      <c r="I311" s="34" t="s">
        <v>47</v>
      </c>
      <c r="J311" s="34" t="s">
        <v>48</v>
      </c>
      <c r="K311" s="36"/>
      <c r="L311" s="34" t="s">
        <v>517</v>
      </c>
    </row>
    <row r="312" customFormat="false" ht="18" hidden="false" customHeight="true" outlineLevel="0" collapsed="false">
      <c r="A312" s="88" t="n">
        <v>7</v>
      </c>
      <c r="B312" s="89" t="s">
        <v>29</v>
      </c>
      <c r="C312" s="88" t="s">
        <v>511</v>
      </c>
      <c r="D312" s="90" t="s">
        <v>63</v>
      </c>
      <c r="E312" s="90" t="s">
        <v>64</v>
      </c>
      <c r="F312" s="91"/>
      <c r="G312" s="88" t="s">
        <v>46</v>
      </c>
      <c r="H312" s="92"/>
      <c r="I312" s="88" t="s">
        <v>47</v>
      </c>
      <c r="J312" s="88" t="s">
        <v>48</v>
      </c>
      <c r="K312" s="90"/>
      <c r="L312" s="88" t="s">
        <v>518</v>
      </c>
    </row>
    <row r="313" customFormat="false" ht="18" hidden="false" customHeight="true" outlineLevel="0" collapsed="false">
      <c r="A313" s="34" t="n">
        <v>8</v>
      </c>
      <c r="B313" s="35" t="s">
        <v>29</v>
      </c>
      <c r="C313" s="34" t="s">
        <v>511</v>
      </c>
      <c r="D313" s="36" t="s">
        <v>66</v>
      </c>
      <c r="E313" s="36" t="s">
        <v>64</v>
      </c>
      <c r="F313" s="37"/>
      <c r="G313" s="34" t="s">
        <v>46</v>
      </c>
      <c r="H313" s="38"/>
      <c r="I313" s="34" t="s">
        <v>47</v>
      </c>
      <c r="J313" s="34" t="s">
        <v>48</v>
      </c>
      <c r="K313" s="36"/>
      <c r="L313" s="34" t="s">
        <v>519</v>
      </c>
    </row>
    <row r="314" customFormat="false" ht="18" hidden="false" customHeight="true" outlineLevel="0" collapsed="false">
      <c r="A314" s="88" t="n">
        <v>9</v>
      </c>
      <c r="B314" s="89" t="s">
        <v>29</v>
      </c>
      <c r="C314" s="88" t="s">
        <v>511</v>
      </c>
      <c r="D314" s="90" t="s">
        <v>68</v>
      </c>
      <c r="E314" s="90" t="s">
        <v>69</v>
      </c>
      <c r="F314" s="91"/>
      <c r="G314" s="88" t="s">
        <v>46</v>
      </c>
      <c r="H314" s="92"/>
      <c r="I314" s="88" t="s">
        <v>47</v>
      </c>
      <c r="J314" s="88" t="s">
        <v>48</v>
      </c>
      <c r="K314" s="90"/>
      <c r="L314" s="88" t="s">
        <v>520</v>
      </c>
    </row>
    <row r="315" customFormat="false" ht="18" hidden="false" customHeight="true" outlineLevel="0" collapsed="false">
      <c r="A315" s="34" t="n">
        <v>10</v>
      </c>
      <c r="B315" s="35" t="s">
        <v>29</v>
      </c>
      <c r="C315" s="34" t="s">
        <v>511</v>
      </c>
      <c r="D315" s="36" t="s">
        <v>71</v>
      </c>
      <c r="E315" s="36" t="s">
        <v>72</v>
      </c>
      <c r="F315" s="37"/>
      <c r="G315" s="34" t="s">
        <v>46</v>
      </c>
      <c r="H315" s="38"/>
      <c r="I315" s="34" t="s">
        <v>47</v>
      </c>
      <c r="J315" s="34" t="s">
        <v>48</v>
      </c>
      <c r="K315" s="36"/>
      <c r="L315" s="34" t="s">
        <v>521</v>
      </c>
    </row>
    <row r="316" customFormat="false" ht="18" hidden="false" customHeight="true" outlineLevel="0" collapsed="false">
      <c r="A316" s="88" t="n">
        <v>11</v>
      </c>
      <c r="B316" s="89" t="s">
        <v>29</v>
      </c>
      <c r="C316" s="88" t="s">
        <v>511</v>
      </c>
      <c r="D316" s="90" t="s">
        <v>74</v>
      </c>
      <c r="E316" s="90" t="s">
        <v>75</v>
      </c>
      <c r="F316" s="91"/>
      <c r="G316" s="88" t="s">
        <v>46</v>
      </c>
      <c r="H316" s="92"/>
      <c r="I316" s="88" t="s">
        <v>47</v>
      </c>
      <c r="J316" s="88" t="s">
        <v>48</v>
      </c>
      <c r="K316" s="90"/>
      <c r="L316" s="88" t="s">
        <v>522</v>
      </c>
    </row>
    <row r="317" customFormat="false" ht="18" hidden="false" customHeight="true" outlineLevel="0" collapsed="false">
      <c r="A317" s="34" t="n">
        <v>12</v>
      </c>
      <c r="B317" s="35" t="s">
        <v>29</v>
      </c>
      <c r="C317" s="34" t="s">
        <v>511</v>
      </c>
      <c r="D317" s="36" t="s">
        <v>77</v>
      </c>
      <c r="E317" s="36" t="s">
        <v>78</v>
      </c>
      <c r="F317" s="37"/>
      <c r="G317" s="34" t="s">
        <v>46</v>
      </c>
      <c r="H317" s="38"/>
      <c r="I317" s="34" t="s">
        <v>47</v>
      </c>
      <c r="J317" s="34" t="s">
        <v>48</v>
      </c>
      <c r="K317" s="36"/>
      <c r="L317" s="34" t="s">
        <v>523</v>
      </c>
    </row>
    <row r="318" customFormat="false" ht="18" hidden="false" customHeight="true" outlineLevel="0" collapsed="false">
      <c r="A318" s="88" t="n">
        <v>13</v>
      </c>
      <c r="B318" s="89" t="s">
        <v>29</v>
      </c>
      <c r="C318" s="88" t="s">
        <v>511</v>
      </c>
      <c r="D318" s="90" t="s">
        <v>80</v>
      </c>
      <c r="E318" s="90" t="s">
        <v>81</v>
      </c>
      <c r="F318" s="91"/>
      <c r="G318" s="88" t="s">
        <v>46</v>
      </c>
      <c r="H318" s="92"/>
      <c r="I318" s="88" t="s">
        <v>47</v>
      </c>
      <c r="J318" s="88" t="s">
        <v>48</v>
      </c>
      <c r="K318" s="90"/>
      <c r="L318" s="88" t="s">
        <v>524</v>
      </c>
    </row>
    <row r="319" customFormat="false" ht="18" hidden="false" customHeight="true" outlineLevel="0" collapsed="false">
      <c r="A319" s="34" t="n">
        <v>14</v>
      </c>
      <c r="B319" s="35" t="s">
        <v>29</v>
      </c>
      <c r="C319" s="34" t="s">
        <v>511</v>
      </c>
      <c r="D319" s="36" t="s">
        <v>83</v>
      </c>
      <c r="E319" s="36" t="s">
        <v>84</v>
      </c>
      <c r="F319" s="37"/>
      <c r="G319" s="34" t="s">
        <v>46</v>
      </c>
      <c r="H319" s="38"/>
      <c r="I319" s="34" t="s">
        <v>47</v>
      </c>
      <c r="J319" s="34" t="s">
        <v>48</v>
      </c>
      <c r="K319" s="36"/>
      <c r="L319" s="34" t="s">
        <v>525</v>
      </c>
    </row>
    <row r="320" customFormat="false" ht="18" hidden="false" customHeight="true" outlineLevel="0" collapsed="false">
      <c r="A320" s="88" t="n">
        <v>15</v>
      </c>
      <c r="B320" s="89" t="s">
        <v>29</v>
      </c>
      <c r="C320" s="88" t="s">
        <v>511</v>
      </c>
      <c r="D320" s="90" t="s">
        <v>86</v>
      </c>
      <c r="E320" s="90" t="s">
        <v>87</v>
      </c>
      <c r="F320" s="91"/>
      <c r="G320" s="88" t="s">
        <v>46</v>
      </c>
      <c r="H320" s="92"/>
      <c r="I320" s="88" t="s">
        <v>47</v>
      </c>
      <c r="J320" s="88" t="s">
        <v>48</v>
      </c>
      <c r="K320" s="90"/>
      <c r="L320" s="88" t="s">
        <v>526</v>
      </c>
    </row>
    <row r="321" customFormat="false" ht="18" hidden="false" customHeight="true" outlineLevel="0" collapsed="false">
      <c r="A321" s="34" t="n">
        <v>16</v>
      </c>
      <c r="B321" s="35" t="s">
        <v>29</v>
      </c>
      <c r="C321" s="34" t="s">
        <v>511</v>
      </c>
      <c r="D321" s="36" t="s">
        <v>89</v>
      </c>
      <c r="E321" s="36" t="s">
        <v>90</v>
      </c>
      <c r="F321" s="37"/>
      <c r="G321" s="34" t="s">
        <v>46</v>
      </c>
      <c r="H321" s="38"/>
      <c r="I321" s="34" t="s">
        <v>47</v>
      </c>
      <c r="J321" s="34" t="s">
        <v>48</v>
      </c>
      <c r="K321" s="36"/>
      <c r="L321" s="34" t="s">
        <v>527</v>
      </c>
    </row>
    <row r="322" customFormat="false" ht="18" hidden="false" customHeight="true" outlineLevel="0" collapsed="false">
      <c r="A322" s="88" t="n">
        <v>17</v>
      </c>
      <c r="B322" s="89" t="s">
        <v>29</v>
      </c>
      <c r="C322" s="88" t="s">
        <v>511</v>
      </c>
      <c r="D322" s="90" t="s">
        <v>92</v>
      </c>
      <c r="E322" s="90" t="s">
        <v>93</v>
      </c>
      <c r="F322" s="91"/>
      <c r="G322" s="88" t="s">
        <v>46</v>
      </c>
      <c r="H322" s="92"/>
      <c r="I322" s="88" t="s">
        <v>47</v>
      </c>
      <c r="J322" s="88" t="s">
        <v>48</v>
      </c>
      <c r="K322" s="90"/>
      <c r="L322" s="88" t="s">
        <v>528</v>
      </c>
    </row>
    <row r="323" customFormat="false" ht="18" hidden="false" customHeight="true" outlineLevel="0" collapsed="false">
      <c r="A323" s="34" t="n">
        <v>18</v>
      </c>
      <c r="B323" s="35" t="s">
        <v>29</v>
      </c>
      <c r="C323" s="34" t="s">
        <v>511</v>
      </c>
      <c r="D323" s="36" t="s">
        <v>95</v>
      </c>
      <c r="E323" s="36" t="s">
        <v>96</v>
      </c>
      <c r="F323" s="37"/>
      <c r="G323" s="34" t="s">
        <v>46</v>
      </c>
      <c r="H323" s="38"/>
      <c r="I323" s="34" t="s">
        <v>47</v>
      </c>
      <c r="J323" s="34" t="s">
        <v>48</v>
      </c>
      <c r="K323" s="36"/>
      <c r="L323" s="34" t="s">
        <v>529</v>
      </c>
    </row>
    <row r="324" customFormat="false" ht="18" hidden="false" customHeight="true" outlineLevel="0" collapsed="false">
      <c r="A324" s="88" t="n">
        <v>19</v>
      </c>
      <c r="B324" s="89" t="s">
        <v>29</v>
      </c>
      <c r="C324" s="88" t="s">
        <v>511</v>
      </c>
      <c r="D324" s="90" t="s">
        <v>98</v>
      </c>
      <c r="E324" s="90" t="s">
        <v>69</v>
      </c>
      <c r="F324" s="91"/>
      <c r="G324" s="88" t="s">
        <v>46</v>
      </c>
      <c r="H324" s="92"/>
      <c r="I324" s="88" t="s">
        <v>47</v>
      </c>
      <c r="J324" s="88" t="s">
        <v>48</v>
      </c>
      <c r="K324" s="90"/>
      <c r="L324" s="88" t="s">
        <v>530</v>
      </c>
    </row>
    <row r="325" customFormat="false" ht="18" hidden="false" customHeight="true" outlineLevel="0" collapsed="false">
      <c r="A325" s="34" t="n">
        <v>20</v>
      </c>
      <c r="B325" s="35" t="s">
        <v>29</v>
      </c>
      <c r="C325" s="34" t="s">
        <v>511</v>
      </c>
      <c r="D325" s="36" t="s">
        <v>100</v>
      </c>
      <c r="E325" s="36" t="s">
        <v>101</v>
      </c>
      <c r="F325" s="37"/>
      <c r="G325" s="34" t="s">
        <v>46</v>
      </c>
      <c r="H325" s="38"/>
      <c r="I325" s="34" t="s">
        <v>47</v>
      </c>
      <c r="J325" s="34" t="s">
        <v>48</v>
      </c>
      <c r="K325" s="36"/>
      <c r="L325" s="34" t="s">
        <v>531</v>
      </c>
    </row>
    <row r="326" customFormat="false" ht="18" hidden="false" customHeight="true" outlineLevel="0" collapsed="false">
      <c r="A326" s="88" t="n">
        <v>21</v>
      </c>
      <c r="B326" s="89" t="s">
        <v>29</v>
      </c>
      <c r="C326" s="88" t="s">
        <v>511</v>
      </c>
      <c r="D326" s="90" t="s">
        <v>103</v>
      </c>
      <c r="E326" s="90" t="s">
        <v>84</v>
      </c>
      <c r="F326" s="91"/>
      <c r="G326" s="88" t="s">
        <v>46</v>
      </c>
      <c r="H326" s="92"/>
      <c r="I326" s="88" t="s">
        <v>47</v>
      </c>
      <c r="J326" s="88" t="s">
        <v>48</v>
      </c>
      <c r="K326" s="90"/>
      <c r="L326" s="88" t="s">
        <v>532</v>
      </c>
    </row>
    <row r="327" customFormat="false" ht="18" hidden="false" customHeight="true" outlineLevel="0" collapsed="false">
      <c r="A327" s="34" t="n">
        <v>22</v>
      </c>
      <c r="B327" s="35" t="s">
        <v>29</v>
      </c>
      <c r="C327" s="34" t="s">
        <v>511</v>
      </c>
      <c r="D327" s="36" t="s">
        <v>105</v>
      </c>
      <c r="E327" s="36" t="s">
        <v>106</v>
      </c>
      <c r="F327" s="37"/>
      <c r="G327" s="34" t="s">
        <v>46</v>
      </c>
      <c r="H327" s="38"/>
      <c r="I327" s="34" t="s">
        <v>47</v>
      </c>
      <c r="J327" s="34" t="s">
        <v>48</v>
      </c>
      <c r="K327" s="36"/>
      <c r="L327" s="34" t="s">
        <v>533</v>
      </c>
    </row>
    <row r="328" customFormat="false" ht="18" hidden="false" customHeight="true" outlineLevel="0" collapsed="false">
      <c r="A328" s="88" t="n">
        <v>23</v>
      </c>
      <c r="B328" s="89" t="s">
        <v>29</v>
      </c>
      <c r="C328" s="88" t="s">
        <v>511</v>
      </c>
      <c r="D328" s="90" t="s">
        <v>108</v>
      </c>
      <c r="E328" s="90" t="s">
        <v>109</v>
      </c>
      <c r="F328" s="91"/>
      <c r="G328" s="88" t="s">
        <v>46</v>
      </c>
      <c r="H328" s="92"/>
      <c r="I328" s="88" t="s">
        <v>47</v>
      </c>
      <c r="J328" s="88" t="s">
        <v>48</v>
      </c>
      <c r="K328" s="90"/>
      <c r="L328" s="88" t="s">
        <v>534</v>
      </c>
    </row>
    <row r="329" customFormat="false" ht="18" hidden="false" customHeight="true" outlineLevel="0" collapsed="false">
      <c r="A329" s="34" t="n">
        <v>24</v>
      </c>
      <c r="B329" s="35" t="s">
        <v>29</v>
      </c>
      <c r="C329" s="34" t="s">
        <v>511</v>
      </c>
      <c r="D329" s="36" t="s">
        <v>111</v>
      </c>
      <c r="E329" s="36" t="s">
        <v>96</v>
      </c>
      <c r="F329" s="37"/>
      <c r="G329" s="34" t="s">
        <v>46</v>
      </c>
      <c r="H329" s="38"/>
      <c r="I329" s="34" t="s">
        <v>47</v>
      </c>
      <c r="J329" s="34" t="s">
        <v>48</v>
      </c>
      <c r="K329" s="36"/>
      <c r="L329" s="34" t="s">
        <v>535</v>
      </c>
    </row>
    <row r="330" customFormat="false" ht="18" hidden="false" customHeight="true" outlineLevel="0" collapsed="false">
      <c r="A330" s="88" t="n">
        <v>25</v>
      </c>
      <c r="B330" s="89" t="s">
        <v>29</v>
      </c>
      <c r="C330" s="88" t="s">
        <v>511</v>
      </c>
      <c r="D330" s="90" t="s">
        <v>113</v>
      </c>
      <c r="E330" s="90" t="s">
        <v>96</v>
      </c>
      <c r="F330" s="91"/>
      <c r="G330" s="88" t="s">
        <v>46</v>
      </c>
      <c r="H330" s="92"/>
      <c r="I330" s="88" t="s">
        <v>47</v>
      </c>
      <c r="J330" s="88" t="s">
        <v>48</v>
      </c>
      <c r="K330" s="90"/>
      <c r="L330" s="88" t="s">
        <v>536</v>
      </c>
    </row>
    <row r="331" customFormat="false" ht="18" hidden="false" customHeight="true" outlineLevel="0" collapsed="false">
      <c r="A331" s="34" t="n">
        <v>26</v>
      </c>
      <c r="B331" s="35" t="s">
        <v>29</v>
      </c>
      <c r="C331" s="34" t="s">
        <v>511</v>
      </c>
      <c r="D331" s="36" t="s">
        <v>115</v>
      </c>
      <c r="E331" s="36" t="s">
        <v>96</v>
      </c>
      <c r="F331" s="37"/>
      <c r="G331" s="34" t="s">
        <v>46</v>
      </c>
      <c r="H331" s="38"/>
      <c r="I331" s="34" t="s">
        <v>47</v>
      </c>
      <c r="J331" s="34" t="s">
        <v>48</v>
      </c>
      <c r="K331" s="36"/>
      <c r="L331" s="34" t="s">
        <v>537</v>
      </c>
    </row>
    <row r="332" customFormat="false" ht="18" hidden="false" customHeight="true" outlineLevel="0" collapsed="false">
      <c r="A332" s="88" t="n">
        <v>27</v>
      </c>
      <c r="B332" s="89" t="s">
        <v>29</v>
      </c>
      <c r="C332" s="88" t="s">
        <v>511</v>
      </c>
      <c r="D332" s="90" t="s">
        <v>117</v>
      </c>
      <c r="E332" s="90" t="s">
        <v>118</v>
      </c>
      <c r="F332" s="91"/>
      <c r="G332" s="88" t="s">
        <v>46</v>
      </c>
      <c r="H332" s="92"/>
      <c r="I332" s="88" t="s">
        <v>47</v>
      </c>
      <c r="J332" s="88" t="s">
        <v>48</v>
      </c>
      <c r="K332" s="90"/>
      <c r="L332" s="88" t="s">
        <v>538</v>
      </c>
    </row>
    <row r="333" customFormat="false" ht="18" hidden="false" customHeight="true" outlineLevel="0" collapsed="false">
      <c r="A333" s="34" t="n">
        <v>28</v>
      </c>
      <c r="B333" s="35" t="s">
        <v>29</v>
      </c>
      <c r="C333" s="34" t="s">
        <v>511</v>
      </c>
      <c r="D333" s="36" t="s">
        <v>120</v>
      </c>
      <c r="E333" s="36" t="s">
        <v>106</v>
      </c>
      <c r="F333" s="37"/>
      <c r="G333" s="34" t="s">
        <v>46</v>
      </c>
      <c r="H333" s="38"/>
      <c r="I333" s="34" t="s">
        <v>47</v>
      </c>
      <c r="J333" s="34" t="s">
        <v>48</v>
      </c>
      <c r="K333" s="36"/>
      <c r="L333" s="34" t="s">
        <v>539</v>
      </c>
    </row>
    <row r="334" customFormat="false" ht="18" hidden="false" customHeight="true" outlineLevel="0" collapsed="false">
      <c r="A334" s="88" t="n">
        <v>29</v>
      </c>
      <c r="B334" s="89" t="s">
        <v>29</v>
      </c>
      <c r="C334" s="88" t="s">
        <v>511</v>
      </c>
      <c r="D334" s="90" t="s">
        <v>122</v>
      </c>
      <c r="E334" s="90" t="s">
        <v>51</v>
      </c>
      <c r="F334" s="91"/>
      <c r="G334" s="88" t="s">
        <v>46</v>
      </c>
      <c r="H334" s="92"/>
      <c r="I334" s="88" t="s">
        <v>47</v>
      </c>
      <c r="J334" s="88" t="s">
        <v>48</v>
      </c>
      <c r="K334" s="90"/>
      <c r="L334" s="88" t="s">
        <v>540</v>
      </c>
    </row>
    <row r="335" customFormat="false" ht="18" hidden="false" customHeight="true" outlineLevel="0" collapsed="false">
      <c r="A335" s="34" t="n">
        <v>30</v>
      </c>
      <c r="B335" s="35" t="s">
        <v>29</v>
      </c>
      <c r="C335" s="34" t="s">
        <v>511</v>
      </c>
      <c r="D335" s="36" t="s">
        <v>124</v>
      </c>
      <c r="E335" s="36" t="s">
        <v>96</v>
      </c>
      <c r="F335" s="37"/>
      <c r="G335" s="34" t="s">
        <v>46</v>
      </c>
      <c r="H335" s="38"/>
      <c r="I335" s="34" t="s">
        <v>47</v>
      </c>
      <c r="J335" s="34" t="s">
        <v>48</v>
      </c>
      <c r="K335" s="36"/>
      <c r="L335" s="34" t="s">
        <v>541</v>
      </c>
    </row>
  </sheetData>
  <mergeCells count="12">
    <mergeCell ref="A1:L1"/>
    <mergeCell ref="A2:L2"/>
    <mergeCell ref="A5:L5"/>
    <mergeCell ref="A36:L36"/>
    <mergeCell ref="A71:L71"/>
    <mergeCell ref="A105:L105"/>
    <mergeCell ref="A149:L149"/>
    <mergeCell ref="A180:L180"/>
    <mergeCell ref="A210:L210"/>
    <mergeCell ref="A243:L243"/>
    <mergeCell ref="A274:L274"/>
    <mergeCell ref="A305:L305"/>
  </mergeCells>
  <dataValidations count="3">
    <dataValidation allowBlank="true" errorStyle="stop" operator="between" showDropDown="false" showErrorMessage="false" showInputMessage="false" sqref="B6:B35 B37:B70 B72:B104 B106:B148 B150:B179 B181:B209 B211:B242 B244:B273 B275:B304 B306:B335" type="list">
      <formula1>"Mako,Kalaena,Angkona,Tomoni,Wasuponda,Baruga,Burau,Wotu,Tomoni Timur,Towuti"</formula1>
      <formula2>0</formula2>
    </dataValidation>
    <dataValidation allowBlank="true" errorStyle="stop" operator="between" showDropDown="false" showErrorMessage="false" showInputMessage="false" sqref="I6:I35 I37:I70 I72:I104 I106:I148 I150:I179 I181:I209 I211:I242 I244:I273 I275:I304 I306:I335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G6:G35 G37:G70 G72:G104 G106:G148 G150:G179 G181:G209 G211:G242 G244:G273 G275:G304 G306:G335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93" t="s">
        <v>542</v>
      </c>
      <c r="B1" s="93"/>
      <c r="C1" s="93"/>
      <c r="D1" s="93"/>
      <c r="E1" s="93"/>
      <c r="F1" s="93"/>
      <c r="G1" s="93"/>
      <c r="H1" s="93"/>
      <c r="I1" s="93"/>
      <c r="J1" s="93"/>
    </row>
    <row r="2" customFormat="false" ht="19.5" hidden="false" customHeight="true" outlineLevel="0" collapsed="false">
      <c r="A2" s="94" t="s">
        <v>543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95" t="s">
        <v>544</v>
      </c>
      <c r="B4" s="95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99" t="n">
        <v>30</v>
      </c>
      <c r="B5" s="99"/>
      <c r="C5" s="100" t="n">
        <f aca="false">COUNTIFS('🔧 Kerusakan'!E:E,"Mako",'🔧 Kerusakan'!H:H,"RUSAK")</f>
        <v>0</v>
      </c>
      <c r="D5" s="100"/>
      <c r="E5" s="101" t="n">
        <f aca="false">COUNTIFS('🔧 Kerusakan'!E:E,"Mako",'🔧 Kerusakan'!H:H,"HILANG")</f>
        <v>0</v>
      </c>
      <c r="F5" s="101"/>
      <c r="G5" s="102" t="n">
        <f aca="false">COUNTIF(J8:J38,"Baik")</f>
        <v>0</v>
      </c>
      <c r="H5" s="102"/>
    </row>
    <row r="7" customFormat="false" ht="30" hidden="false" customHeight="true" outlineLevel="0" collapsed="false">
      <c r="A7" s="14" t="s">
        <v>8</v>
      </c>
      <c r="B7" s="14" t="s">
        <v>548</v>
      </c>
      <c r="C7" s="14" t="s">
        <v>34</v>
      </c>
      <c r="D7" s="14" t="s">
        <v>35</v>
      </c>
      <c r="E7" s="14" t="s">
        <v>36</v>
      </c>
      <c r="F7" s="14" t="s">
        <v>37</v>
      </c>
      <c r="G7" s="14" t="s">
        <v>549</v>
      </c>
      <c r="H7" s="14" t="s">
        <v>17</v>
      </c>
      <c r="I7" s="14" t="s">
        <v>550</v>
      </c>
      <c r="J7" s="14" t="s">
        <v>551</v>
      </c>
    </row>
    <row r="8" customFormat="false" ht="18" hidden="false" customHeight="true" outlineLevel="0" collapsed="false">
      <c r="A8" s="29" t="n">
        <v>1</v>
      </c>
      <c r="B8" s="29" t="s">
        <v>49</v>
      </c>
      <c r="C8" s="31" t="s">
        <v>44</v>
      </c>
      <c r="D8" s="31" t="s">
        <v>45</v>
      </c>
      <c r="E8" s="29"/>
      <c r="F8" s="29" t="s">
        <v>46</v>
      </c>
      <c r="G8" s="29"/>
      <c r="H8" s="29" t="s">
        <v>47</v>
      </c>
      <c r="I8" s="29" t="s">
        <v>48</v>
      </c>
      <c r="J8" s="31"/>
    </row>
    <row r="9" customFormat="false" ht="18" hidden="false" customHeight="true" outlineLevel="0" collapsed="false">
      <c r="A9" s="34" t="n">
        <v>2</v>
      </c>
      <c r="B9" s="34" t="s">
        <v>52</v>
      </c>
      <c r="C9" s="36" t="s">
        <v>50</v>
      </c>
      <c r="D9" s="36" t="s">
        <v>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29" t="n">
        <v>3</v>
      </c>
      <c r="B10" s="29" t="s">
        <v>54</v>
      </c>
      <c r="C10" s="31" t="s">
        <v>53</v>
      </c>
      <c r="D10" s="31" t="s">
        <v>51</v>
      </c>
      <c r="E10" s="29"/>
      <c r="F10" s="29" t="s">
        <v>46</v>
      </c>
      <c r="G10" s="29"/>
      <c r="H10" s="29" t="s">
        <v>47</v>
      </c>
      <c r="I10" s="29" t="s">
        <v>48</v>
      </c>
      <c r="J10" s="31"/>
    </row>
    <row r="11" customFormat="false" ht="18" hidden="false" customHeight="true" outlineLevel="0" collapsed="false">
      <c r="A11" s="34" t="n">
        <v>4</v>
      </c>
      <c r="B11" s="34" t="s">
        <v>57</v>
      </c>
      <c r="C11" s="36" t="s">
        <v>55</v>
      </c>
      <c r="D11" s="36" t="s">
        <v>56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29" t="n">
        <v>5</v>
      </c>
      <c r="B12" s="29" t="s">
        <v>60</v>
      </c>
      <c r="C12" s="31" t="s">
        <v>58</v>
      </c>
      <c r="D12" s="31" t="s">
        <v>59</v>
      </c>
      <c r="E12" s="29"/>
      <c r="F12" s="29" t="s">
        <v>46</v>
      </c>
      <c r="G12" s="29"/>
      <c r="H12" s="29" t="s">
        <v>47</v>
      </c>
      <c r="I12" s="29" t="s">
        <v>48</v>
      </c>
      <c r="J12" s="31"/>
    </row>
    <row r="13" customFormat="false" ht="18" hidden="false" customHeight="true" outlineLevel="0" collapsed="false">
      <c r="A13" s="34" t="n">
        <v>6</v>
      </c>
      <c r="B13" s="34" t="s">
        <v>62</v>
      </c>
      <c r="C13" s="36" t="s">
        <v>61</v>
      </c>
      <c r="D13" s="36" t="s">
        <v>59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29" t="n">
        <v>7</v>
      </c>
      <c r="B14" s="29" t="s">
        <v>65</v>
      </c>
      <c r="C14" s="31" t="s">
        <v>63</v>
      </c>
      <c r="D14" s="31" t="s">
        <v>64</v>
      </c>
      <c r="E14" s="29"/>
      <c r="F14" s="29" t="s">
        <v>46</v>
      </c>
      <c r="G14" s="29"/>
      <c r="H14" s="29" t="s">
        <v>47</v>
      </c>
      <c r="I14" s="29" t="s">
        <v>48</v>
      </c>
      <c r="J14" s="31"/>
    </row>
    <row r="15" customFormat="false" ht="18" hidden="false" customHeight="true" outlineLevel="0" collapsed="false">
      <c r="A15" s="34" t="n">
        <v>8</v>
      </c>
      <c r="B15" s="34" t="s">
        <v>67</v>
      </c>
      <c r="C15" s="36" t="s">
        <v>66</v>
      </c>
      <c r="D15" s="36" t="s">
        <v>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29" t="n">
        <v>9</v>
      </c>
      <c r="B16" s="29" t="s">
        <v>70</v>
      </c>
      <c r="C16" s="31" t="s">
        <v>68</v>
      </c>
      <c r="D16" s="31" t="s">
        <v>69</v>
      </c>
      <c r="E16" s="29"/>
      <c r="F16" s="29" t="s">
        <v>46</v>
      </c>
      <c r="G16" s="29"/>
      <c r="H16" s="29" t="s">
        <v>47</v>
      </c>
      <c r="I16" s="29" t="s">
        <v>48</v>
      </c>
      <c r="J16" s="31"/>
    </row>
    <row r="17" customFormat="false" ht="18" hidden="false" customHeight="true" outlineLevel="0" collapsed="false">
      <c r="A17" s="34" t="n">
        <v>10</v>
      </c>
      <c r="B17" s="34" t="s">
        <v>73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29" t="n">
        <v>11</v>
      </c>
      <c r="B18" s="29" t="s">
        <v>76</v>
      </c>
      <c r="C18" s="31" t="s">
        <v>74</v>
      </c>
      <c r="D18" s="31" t="s">
        <v>75</v>
      </c>
      <c r="E18" s="29"/>
      <c r="F18" s="29" t="s">
        <v>46</v>
      </c>
      <c r="G18" s="29"/>
      <c r="H18" s="29" t="s">
        <v>47</v>
      </c>
      <c r="I18" s="29" t="s">
        <v>48</v>
      </c>
      <c r="J18" s="31"/>
    </row>
    <row r="19" customFormat="false" ht="18" hidden="false" customHeight="true" outlineLevel="0" collapsed="false">
      <c r="A19" s="34" t="n">
        <v>12</v>
      </c>
      <c r="B19" s="34" t="s">
        <v>79</v>
      </c>
      <c r="C19" s="36" t="s">
        <v>77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29" t="n">
        <v>13</v>
      </c>
      <c r="B20" s="29" t="s">
        <v>82</v>
      </c>
      <c r="C20" s="31" t="s">
        <v>80</v>
      </c>
      <c r="D20" s="31" t="s">
        <v>81</v>
      </c>
      <c r="E20" s="29"/>
      <c r="F20" s="29" t="s">
        <v>46</v>
      </c>
      <c r="G20" s="29"/>
      <c r="H20" s="29" t="s">
        <v>47</v>
      </c>
      <c r="I20" s="29" t="s">
        <v>48</v>
      </c>
      <c r="J20" s="31"/>
    </row>
    <row r="21" customFormat="false" ht="18" hidden="false" customHeight="true" outlineLevel="0" collapsed="false">
      <c r="A21" s="34" t="n">
        <v>14</v>
      </c>
      <c r="B21" s="34" t="s">
        <v>85</v>
      </c>
      <c r="C21" s="36" t="s">
        <v>83</v>
      </c>
      <c r="D21" s="36" t="s">
        <v>84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29" t="n">
        <v>15</v>
      </c>
      <c r="B22" s="29" t="s">
        <v>88</v>
      </c>
      <c r="C22" s="31" t="s">
        <v>86</v>
      </c>
      <c r="D22" s="31" t="s">
        <v>87</v>
      </c>
      <c r="E22" s="29"/>
      <c r="F22" s="29" t="s">
        <v>46</v>
      </c>
      <c r="G22" s="29"/>
      <c r="H22" s="29" t="s">
        <v>47</v>
      </c>
      <c r="I22" s="29" t="s">
        <v>48</v>
      </c>
      <c r="J22" s="31"/>
    </row>
    <row r="23" customFormat="false" ht="18" hidden="false" customHeight="true" outlineLevel="0" collapsed="false">
      <c r="A23" s="34" t="n">
        <v>16</v>
      </c>
      <c r="B23" s="34" t="s">
        <v>91</v>
      </c>
      <c r="C23" s="36" t="s">
        <v>89</v>
      </c>
      <c r="D23" s="36" t="s">
        <v>90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29" t="n">
        <v>17</v>
      </c>
      <c r="B24" s="29" t="s">
        <v>94</v>
      </c>
      <c r="C24" s="31" t="s">
        <v>92</v>
      </c>
      <c r="D24" s="31" t="s">
        <v>93</v>
      </c>
      <c r="E24" s="29"/>
      <c r="F24" s="29" t="s">
        <v>46</v>
      </c>
      <c r="G24" s="29"/>
      <c r="H24" s="29" t="s">
        <v>47</v>
      </c>
      <c r="I24" s="29" t="s">
        <v>48</v>
      </c>
      <c r="J24" s="31"/>
    </row>
    <row r="25" customFormat="false" ht="18" hidden="false" customHeight="true" outlineLevel="0" collapsed="false">
      <c r="A25" s="34" t="n">
        <v>18</v>
      </c>
      <c r="B25" s="34" t="s">
        <v>97</v>
      </c>
      <c r="C25" s="36" t="s">
        <v>95</v>
      </c>
      <c r="D25" s="36" t="s">
        <v>96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29" t="n">
        <v>19</v>
      </c>
      <c r="B26" s="29" t="s">
        <v>99</v>
      </c>
      <c r="C26" s="31" t="s">
        <v>98</v>
      </c>
      <c r="D26" s="31" t="s">
        <v>69</v>
      </c>
      <c r="E26" s="29"/>
      <c r="F26" s="29" t="s">
        <v>46</v>
      </c>
      <c r="G26" s="29"/>
      <c r="H26" s="29" t="s">
        <v>47</v>
      </c>
      <c r="I26" s="29" t="s">
        <v>48</v>
      </c>
      <c r="J26" s="31"/>
    </row>
    <row r="27" customFormat="false" ht="18" hidden="false" customHeight="true" outlineLevel="0" collapsed="false">
      <c r="A27" s="34" t="n">
        <v>20</v>
      </c>
      <c r="B27" s="34" t="s">
        <v>102</v>
      </c>
      <c r="C27" s="36" t="s">
        <v>100</v>
      </c>
      <c r="D27" s="36" t="s">
        <v>101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29" t="n">
        <v>21</v>
      </c>
      <c r="B28" s="29" t="s">
        <v>104</v>
      </c>
      <c r="C28" s="31" t="s">
        <v>103</v>
      </c>
      <c r="D28" s="31" t="s">
        <v>84</v>
      </c>
      <c r="E28" s="29"/>
      <c r="F28" s="29" t="s">
        <v>46</v>
      </c>
      <c r="G28" s="29"/>
      <c r="H28" s="29" t="s">
        <v>47</v>
      </c>
      <c r="I28" s="29" t="s">
        <v>48</v>
      </c>
      <c r="J28" s="31"/>
    </row>
    <row r="29" customFormat="false" ht="18" hidden="false" customHeight="true" outlineLevel="0" collapsed="false">
      <c r="A29" s="34" t="n">
        <v>22</v>
      </c>
      <c r="B29" s="34" t="s">
        <v>107</v>
      </c>
      <c r="C29" s="36" t="s">
        <v>105</v>
      </c>
      <c r="D29" s="36" t="s">
        <v>106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29" t="n">
        <v>23</v>
      </c>
      <c r="B30" s="29" t="s">
        <v>110</v>
      </c>
      <c r="C30" s="31" t="s">
        <v>108</v>
      </c>
      <c r="D30" s="31" t="s">
        <v>109</v>
      </c>
      <c r="E30" s="29"/>
      <c r="F30" s="29" t="s">
        <v>46</v>
      </c>
      <c r="G30" s="29"/>
      <c r="H30" s="29" t="s">
        <v>47</v>
      </c>
      <c r="I30" s="29" t="s">
        <v>48</v>
      </c>
      <c r="J30" s="31"/>
    </row>
    <row r="31" customFormat="false" ht="18" hidden="false" customHeight="true" outlineLevel="0" collapsed="false">
      <c r="A31" s="34" t="n">
        <v>24</v>
      </c>
      <c r="B31" s="34" t="s">
        <v>112</v>
      </c>
      <c r="C31" s="36" t="s">
        <v>111</v>
      </c>
      <c r="D31" s="36" t="s">
        <v>96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29" t="n">
        <v>25</v>
      </c>
      <c r="B32" s="29" t="s">
        <v>114</v>
      </c>
      <c r="C32" s="31" t="s">
        <v>113</v>
      </c>
      <c r="D32" s="31" t="s">
        <v>96</v>
      </c>
      <c r="E32" s="29"/>
      <c r="F32" s="29" t="s">
        <v>46</v>
      </c>
      <c r="G32" s="29"/>
      <c r="H32" s="29" t="s">
        <v>47</v>
      </c>
      <c r="I32" s="29" t="s">
        <v>48</v>
      </c>
      <c r="J32" s="31"/>
    </row>
    <row r="33" customFormat="false" ht="18" hidden="false" customHeight="true" outlineLevel="0" collapsed="false">
      <c r="A33" s="34" t="n">
        <v>26</v>
      </c>
      <c r="B33" s="34" t="s">
        <v>116</v>
      </c>
      <c r="C33" s="36" t="s">
        <v>115</v>
      </c>
      <c r="D33" s="36" t="s">
        <v>96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29" t="n">
        <v>27</v>
      </c>
      <c r="B34" s="29" t="s">
        <v>119</v>
      </c>
      <c r="C34" s="31" t="s">
        <v>117</v>
      </c>
      <c r="D34" s="31" t="s">
        <v>118</v>
      </c>
      <c r="E34" s="29"/>
      <c r="F34" s="29" t="s">
        <v>46</v>
      </c>
      <c r="G34" s="29"/>
      <c r="H34" s="29" t="s">
        <v>47</v>
      </c>
      <c r="I34" s="29" t="s">
        <v>48</v>
      </c>
      <c r="J34" s="31"/>
    </row>
    <row r="35" customFormat="false" ht="18" hidden="false" customHeight="true" outlineLevel="0" collapsed="false">
      <c r="A35" s="34" t="n">
        <v>28</v>
      </c>
      <c r="B35" s="34" t="s">
        <v>121</v>
      </c>
      <c r="C35" s="36" t="s">
        <v>120</v>
      </c>
      <c r="D35" s="36" t="s">
        <v>106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29" t="n">
        <v>29</v>
      </c>
      <c r="B36" s="29" t="s">
        <v>123</v>
      </c>
      <c r="C36" s="31" t="s">
        <v>122</v>
      </c>
      <c r="D36" s="31" t="s">
        <v>51</v>
      </c>
      <c r="E36" s="29"/>
      <c r="F36" s="29" t="s">
        <v>46</v>
      </c>
      <c r="G36" s="29"/>
      <c r="H36" s="29" t="s">
        <v>47</v>
      </c>
      <c r="I36" s="29" t="s">
        <v>48</v>
      </c>
      <c r="J36" s="31"/>
    </row>
    <row r="37" customFormat="false" ht="18" hidden="false" customHeight="true" outlineLevel="0" collapsed="false">
      <c r="A37" s="34" t="n">
        <v>30</v>
      </c>
      <c r="B37" s="34" t="s">
        <v>125</v>
      </c>
      <c r="C37" s="36" t="s">
        <v>124</v>
      </c>
      <c r="D37" s="36" t="s">
        <v>96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21.75" hidden="false" customHeight="true" outlineLevel="0" collapsed="false">
      <c r="A38" s="103"/>
      <c r="B38" s="103"/>
      <c r="C38" s="14" t="s">
        <v>552</v>
      </c>
      <c r="D38" s="14"/>
      <c r="E38" s="14" t="n">
        <f aca="false">SUM(E8:E37)</f>
        <v>0</v>
      </c>
      <c r="F38" s="14"/>
      <c r="G38" s="14"/>
      <c r="H38" s="14"/>
      <c r="I38" s="14"/>
      <c r="J38" s="14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7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7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7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04" t="s">
        <v>553</v>
      </c>
      <c r="B1" s="104"/>
      <c r="C1" s="104"/>
      <c r="D1" s="104"/>
      <c r="E1" s="104"/>
      <c r="F1" s="104"/>
      <c r="G1" s="104"/>
      <c r="H1" s="104"/>
      <c r="I1" s="104"/>
      <c r="J1" s="104"/>
    </row>
    <row r="2" customFormat="false" ht="19.5" hidden="false" customHeight="true" outlineLevel="0" collapsed="false">
      <c r="A2" s="94" t="s">
        <v>554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05" t="s">
        <v>544</v>
      </c>
      <c r="B4" s="105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06" t="n">
        <v>34</v>
      </c>
      <c r="B5" s="106"/>
      <c r="C5" s="100" t="n">
        <f aca="false">COUNTIFS('🔧 Kerusakan'!E:E,"Kalaena",'🔧 Kerusakan'!H:H,"RUSAK")</f>
        <v>0</v>
      </c>
      <c r="D5" s="100"/>
      <c r="E5" s="101" t="n">
        <f aca="false">COUNTIFS('🔧 Kerusakan'!E:E,"Kalaena",'🔧 Kerusakan'!H:H,"HILANG")</f>
        <v>0</v>
      </c>
      <c r="F5" s="101"/>
      <c r="G5" s="102" t="n">
        <f aca="false">COUNTIF(J8:J42,"Baik")</f>
        <v>0</v>
      </c>
      <c r="H5" s="102"/>
    </row>
    <row r="7" customFormat="false" ht="30" hidden="false" customHeight="true" outlineLevel="0" collapsed="false">
      <c r="A7" s="107" t="s">
        <v>8</v>
      </c>
      <c r="B7" s="107" t="s">
        <v>548</v>
      </c>
      <c r="C7" s="107" t="s">
        <v>34</v>
      </c>
      <c r="D7" s="107" t="s">
        <v>35</v>
      </c>
      <c r="E7" s="107" t="s">
        <v>36</v>
      </c>
      <c r="F7" s="107" t="s">
        <v>37</v>
      </c>
      <c r="G7" s="107" t="s">
        <v>549</v>
      </c>
      <c r="H7" s="107" t="s">
        <v>17</v>
      </c>
      <c r="I7" s="107" t="s">
        <v>550</v>
      </c>
      <c r="J7" s="107" t="s">
        <v>551</v>
      </c>
    </row>
    <row r="8" customFormat="false" ht="18" hidden="false" customHeight="true" outlineLevel="0" collapsed="false">
      <c r="A8" s="40" t="n">
        <v>1</v>
      </c>
      <c r="B8" s="40" t="s">
        <v>129</v>
      </c>
      <c r="C8" s="42" t="s">
        <v>128</v>
      </c>
      <c r="D8" s="42" t="s">
        <v>51</v>
      </c>
      <c r="E8" s="40"/>
      <c r="F8" s="40" t="s">
        <v>46</v>
      </c>
      <c r="G8" s="40"/>
      <c r="H8" s="40" t="s">
        <v>47</v>
      </c>
      <c r="I8" s="40" t="s">
        <v>48</v>
      </c>
      <c r="J8" s="42"/>
    </row>
    <row r="9" customFormat="false" ht="18" hidden="false" customHeight="true" outlineLevel="0" collapsed="false">
      <c r="A9" s="34" t="n">
        <v>2</v>
      </c>
      <c r="B9" s="34" t="s">
        <v>132</v>
      </c>
      <c r="C9" s="36" t="s">
        <v>130</v>
      </c>
      <c r="D9" s="36" t="s">
        <v>131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40" t="n">
        <v>3</v>
      </c>
      <c r="B10" s="40" t="s">
        <v>134</v>
      </c>
      <c r="C10" s="42" t="s">
        <v>80</v>
      </c>
      <c r="D10" s="42" t="s">
        <v>133</v>
      </c>
      <c r="E10" s="40"/>
      <c r="F10" s="40" t="s">
        <v>46</v>
      </c>
      <c r="G10" s="40"/>
      <c r="H10" s="40" t="s">
        <v>47</v>
      </c>
      <c r="I10" s="40" t="s">
        <v>48</v>
      </c>
      <c r="J10" s="42"/>
    </row>
    <row r="11" customFormat="false" ht="18" hidden="false" customHeight="true" outlineLevel="0" collapsed="false">
      <c r="A11" s="34" t="n">
        <v>4</v>
      </c>
      <c r="B11" s="34" t="s">
        <v>136</v>
      </c>
      <c r="C11" s="36" t="s">
        <v>135</v>
      </c>
      <c r="D11" s="36" t="s">
        <v>64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40" t="n">
        <v>5</v>
      </c>
      <c r="B12" s="40" t="s">
        <v>138</v>
      </c>
      <c r="C12" s="42" t="s">
        <v>44</v>
      </c>
      <c r="D12" s="42" t="s">
        <v>137</v>
      </c>
      <c r="E12" s="40"/>
      <c r="F12" s="40" t="s">
        <v>46</v>
      </c>
      <c r="G12" s="40"/>
      <c r="H12" s="40" t="s">
        <v>47</v>
      </c>
      <c r="I12" s="40" t="s">
        <v>48</v>
      </c>
      <c r="J12" s="42"/>
    </row>
    <row r="13" customFormat="false" ht="18" hidden="false" customHeight="true" outlineLevel="0" collapsed="false">
      <c r="A13" s="34" t="n">
        <v>6</v>
      </c>
      <c r="B13" s="34" t="s">
        <v>139</v>
      </c>
      <c r="C13" s="36" t="s">
        <v>86</v>
      </c>
      <c r="D13" s="36" t="s">
        <v>64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40" t="n">
        <v>7</v>
      </c>
      <c r="B14" s="40" t="s">
        <v>140</v>
      </c>
      <c r="C14" s="42" t="s">
        <v>89</v>
      </c>
      <c r="D14" s="42" t="s">
        <v>56</v>
      </c>
      <c r="E14" s="40"/>
      <c r="F14" s="40" t="s">
        <v>46</v>
      </c>
      <c r="G14" s="40"/>
      <c r="H14" s="40" t="s">
        <v>47</v>
      </c>
      <c r="I14" s="40" t="s">
        <v>48</v>
      </c>
      <c r="J14" s="42"/>
    </row>
    <row r="15" customFormat="false" ht="18" hidden="false" customHeight="true" outlineLevel="0" collapsed="false">
      <c r="A15" s="34" t="n">
        <v>8</v>
      </c>
      <c r="B15" s="34" t="s">
        <v>143</v>
      </c>
      <c r="C15" s="36" t="s">
        <v>141</v>
      </c>
      <c r="D15" s="36" t="s">
        <v>142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40" t="n">
        <v>9</v>
      </c>
      <c r="B16" s="40" t="s">
        <v>144</v>
      </c>
      <c r="C16" s="42" t="s">
        <v>66</v>
      </c>
      <c r="D16" s="42" t="s">
        <v>87</v>
      </c>
      <c r="E16" s="40"/>
      <c r="F16" s="40" t="s">
        <v>46</v>
      </c>
      <c r="G16" s="40"/>
      <c r="H16" s="40" t="s">
        <v>47</v>
      </c>
      <c r="I16" s="40" t="s">
        <v>48</v>
      </c>
      <c r="J16" s="42"/>
    </row>
    <row r="17" customFormat="false" ht="18" hidden="false" customHeight="true" outlineLevel="0" collapsed="false">
      <c r="A17" s="34" t="n">
        <v>10</v>
      </c>
      <c r="B17" s="34" t="s">
        <v>147</v>
      </c>
      <c r="C17" s="36" t="s">
        <v>145</v>
      </c>
      <c r="D17" s="36" t="s">
        <v>146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40" t="n">
        <v>11</v>
      </c>
      <c r="B18" s="40" t="s">
        <v>149</v>
      </c>
      <c r="C18" s="42" t="s">
        <v>148</v>
      </c>
      <c r="D18" s="42" t="s">
        <v>72</v>
      </c>
      <c r="E18" s="40"/>
      <c r="F18" s="40" t="s">
        <v>46</v>
      </c>
      <c r="G18" s="40"/>
      <c r="H18" s="40" t="s">
        <v>47</v>
      </c>
      <c r="I18" s="40" t="s">
        <v>48</v>
      </c>
      <c r="J18" s="42"/>
    </row>
    <row r="19" customFormat="false" ht="18" hidden="false" customHeight="true" outlineLevel="0" collapsed="false">
      <c r="A19" s="34" t="n">
        <v>12</v>
      </c>
      <c r="B19" s="34" t="s">
        <v>150</v>
      </c>
      <c r="C19" s="36" t="s">
        <v>71</v>
      </c>
      <c r="D19" s="36" t="s">
        <v>75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40" t="n">
        <v>13</v>
      </c>
      <c r="B20" s="40" t="s">
        <v>153</v>
      </c>
      <c r="C20" s="42" t="s">
        <v>151</v>
      </c>
      <c r="D20" s="42" t="s">
        <v>152</v>
      </c>
      <c r="E20" s="40"/>
      <c r="F20" s="40" t="s">
        <v>46</v>
      </c>
      <c r="G20" s="40"/>
      <c r="H20" s="40" t="s">
        <v>47</v>
      </c>
      <c r="I20" s="40" t="s">
        <v>48</v>
      </c>
      <c r="J20" s="42"/>
    </row>
    <row r="21" customFormat="false" ht="18" hidden="false" customHeight="true" outlineLevel="0" collapsed="false">
      <c r="A21" s="34" t="n">
        <v>14</v>
      </c>
      <c r="B21" s="34" t="s">
        <v>155</v>
      </c>
      <c r="C21" s="36" t="s">
        <v>58</v>
      </c>
      <c r="D21" s="36" t="s">
        <v>154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40" t="n">
        <v>15</v>
      </c>
      <c r="B22" s="40" t="s">
        <v>158</v>
      </c>
      <c r="C22" s="42" t="s">
        <v>156</v>
      </c>
      <c r="D22" s="42" t="s">
        <v>157</v>
      </c>
      <c r="E22" s="40"/>
      <c r="F22" s="40" t="s">
        <v>46</v>
      </c>
      <c r="G22" s="40"/>
      <c r="H22" s="40" t="s">
        <v>47</v>
      </c>
      <c r="I22" s="40" t="s">
        <v>48</v>
      </c>
      <c r="J22" s="42"/>
    </row>
    <row r="23" customFormat="false" ht="18" hidden="false" customHeight="true" outlineLevel="0" collapsed="false">
      <c r="A23" s="34" t="n">
        <v>16</v>
      </c>
      <c r="B23" s="34" t="s">
        <v>161</v>
      </c>
      <c r="C23" s="36" t="s">
        <v>159</v>
      </c>
      <c r="D23" s="36" t="s">
        <v>160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40" t="n">
        <v>17</v>
      </c>
      <c r="B24" s="40" t="s">
        <v>162</v>
      </c>
      <c r="C24" s="42" t="s">
        <v>92</v>
      </c>
      <c r="D24" s="42" t="s">
        <v>72</v>
      </c>
      <c r="E24" s="40"/>
      <c r="F24" s="40" t="s">
        <v>46</v>
      </c>
      <c r="G24" s="40"/>
      <c r="H24" s="40" t="s">
        <v>47</v>
      </c>
      <c r="I24" s="40" t="s">
        <v>48</v>
      </c>
      <c r="J24" s="42"/>
    </row>
    <row r="25" customFormat="false" ht="18" hidden="false" customHeight="true" outlineLevel="0" collapsed="false">
      <c r="A25" s="34" t="n">
        <v>18</v>
      </c>
      <c r="B25" s="34" t="s">
        <v>165</v>
      </c>
      <c r="C25" s="36" t="s">
        <v>163</v>
      </c>
      <c r="D25" s="36" t="s">
        <v>164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40" t="n">
        <v>19</v>
      </c>
      <c r="B26" s="40" t="s">
        <v>167</v>
      </c>
      <c r="C26" s="42" t="s">
        <v>115</v>
      </c>
      <c r="D26" s="42" t="s">
        <v>166</v>
      </c>
      <c r="E26" s="40"/>
      <c r="F26" s="40" t="s">
        <v>46</v>
      </c>
      <c r="G26" s="40"/>
      <c r="H26" s="40" t="s">
        <v>47</v>
      </c>
      <c r="I26" s="40" t="s">
        <v>48</v>
      </c>
      <c r="J26" s="42"/>
    </row>
    <row r="27" customFormat="false" ht="18" hidden="false" customHeight="true" outlineLevel="0" collapsed="false">
      <c r="A27" s="34" t="n">
        <v>20</v>
      </c>
      <c r="B27" s="34" t="s">
        <v>168</v>
      </c>
      <c r="C27" s="36" t="s">
        <v>108</v>
      </c>
      <c r="D27" s="36" t="s">
        <v>87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40" t="n">
        <v>21</v>
      </c>
      <c r="B28" s="40" t="s">
        <v>170</v>
      </c>
      <c r="C28" s="42" t="s">
        <v>61</v>
      </c>
      <c r="D28" s="42" t="s">
        <v>169</v>
      </c>
      <c r="E28" s="40"/>
      <c r="F28" s="40" t="s">
        <v>46</v>
      </c>
      <c r="G28" s="40"/>
      <c r="H28" s="40" t="s">
        <v>47</v>
      </c>
      <c r="I28" s="40" t="s">
        <v>48</v>
      </c>
      <c r="J28" s="42"/>
    </row>
    <row r="29" customFormat="false" ht="18" hidden="false" customHeight="true" outlineLevel="0" collapsed="false">
      <c r="A29" s="34" t="n">
        <v>22</v>
      </c>
      <c r="B29" s="34" t="s">
        <v>172</v>
      </c>
      <c r="C29" s="36" t="s">
        <v>74</v>
      </c>
      <c r="D29" s="36" t="s">
        <v>171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40" t="n">
        <v>23</v>
      </c>
      <c r="B30" s="40" t="s">
        <v>175</v>
      </c>
      <c r="C30" s="42" t="s">
        <v>173</v>
      </c>
      <c r="D30" s="42" t="s">
        <v>174</v>
      </c>
      <c r="E30" s="40"/>
      <c r="F30" s="40" t="s">
        <v>46</v>
      </c>
      <c r="G30" s="40"/>
      <c r="H30" s="40" t="s">
        <v>47</v>
      </c>
      <c r="I30" s="40" t="s">
        <v>48</v>
      </c>
      <c r="J30" s="42"/>
    </row>
    <row r="31" customFormat="false" ht="18" hidden="false" customHeight="true" outlineLevel="0" collapsed="false">
      <c r="A31" s="34" t="n">
        <v>24</v>
      </c>
      <c r="B31" s="34" t="s">
        <v>177</v>
      </c>
      <c r="C31" s="36" t="s">
        <v>176</v>
      </c>
      <c r="D31" s="36" t="s">
        <v>101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40" t="n">
        <v>25</v>
      </c>
      <c r="B32" s="40" t="s">
        <v>179</v>
      </c>
      <c r="C32" s="42" t="s">
        <v>178</v>
      </c>
      <c r="D32" s="42" t="s">
        <v>109</v>
      </c>
      <c r="E32" s="40"/>
      <c r="F32" s="40" t="s">
        <v>46</v>
      </c>
      <c r="G32" s="40"/>
      <c r="H32" s="40" t="s">
        <v>47</v>
      </c>
      <c r="I32" s="40" t="s">
        <v>48</v>
      </c>
      <c r="J32" s="42"/>
    </row>
    <row r="33" customFormat="false" ht="18" hidden="false" customHeight="true" outlineLevel="0" collapsed="false">
      <c r="A33" s="34" t="n">
        <v>26</v>
      </c>
      <c r="B33" s="34" t="s">
        <v>181</v>
      </c>
      <c r="C33" s="36" t="s">
        <v>95</v>
      </c>
      <c r="D33" s="36" t="s">
        <v>180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40" t="n">
        <v>27</v>
      </c>
      <c r="B34" s="40" t="s">
        <v>182</v>
      </c>
      <c r="C34" s="42" t="s">
        <v>83</v>
      </c>
      <c r="D34" s="42" t="s">
        <v>106</v>
      </c>
      <c r="E34" s="40"/>
      <c r="F34" s="40" t="s">
        <v>46</v>
      </c>
      <c r="G34" s="40"/>
      <c r="H34" s="40" t="s">
        <v>47</v>
      </c>
      <c r="I34" s="40" t="s">
        <v>48</v>
      </c>
      <c r="J34" s="42"/>
    </row>
    <row r="35" customFormat="false" ht="18" hidden="false" customHeight="true" outlineLevel="0" collapsed="false">
      <c r="A35" s="34" t="n">
        <v>28</v>
      </c>
      <c r="B35" s="34" t="s">
        <v>184</v>
      </c>
      <c r="C35" s="36" t="s">
        <v>183</v>
      </c>
      <c r="D35" s="36" t="s">
        <v>84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40" t="n">
        <v>29</v>
      </c>
      <c r="B36" s="40" t="s">
        <v>185</v>
      </c>
      <c r="C36" s="42" t="s">
        <v>111</v>
      </c>
      <c r="D36" s="42" t="s">
        <v>96</v>
      </c>
      <c r="E36" s="40"/>
      <c r="F36" s="40" t="s">
        <v>46</v>
      </c>
      <c r="G36" s="40"/>
      <c r="H36" s="40" t="s">
        <v>47</v>
      </c>
      <c r="I36" s="40" t="s">
        <v>48</v>
      </c>
      <c r="J36" s="42"/>
    </row>
    <row r="37" customFormat="false" ht="18" hidden="false" customHeight="true" outlineLevel="0" collapsed="false">
      <c r="A37" s="34" t="n">
        <v>30</v>
      </c>
      <c r="B37" s="34" t="s">
        <v>187</v>
      </c>
      <c r="C37" s="36" t="s">
        <v>186</v>
      </c>
      <c r="D37" s="36" t="s">
        <v>69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18" hidden="false" customHeight="true" outlineLevel="0" collapsed="false">
      <c r="A38" s="40" t="n">
        <v>31</v>
      </c>
      <c r="B38" s="40" t="s">
        <v>189</v>
      </c>
      <c r="C38" s="42" t="s">
        <v>120</v>
      </c>
      <c r="D38" s="42" t="s">
        <v>188</v>
      </c>
      <c r="E38" s="40"/>
      <c r="F38" s="40" t="s">
        <v>46</v>
      </c>
      <c r="G38" s="40"/>
      <c r="H38" s="40" t="s">
        <v>47</v>
      </c>
      <c r="I38" s="40" t="s">
        <v>48</v>
      </c>
      <c r="J38" s="42"/>
    </row>
    <row r="39" customFormat="false" ht="18" hidden="false" customHeight="true" outlineLevel="0" collapsed="false">
      <c r="A39" s="34" t="n">
        <v>32</v>
      </c>
      <c r="B39" s="34" t="s">
        <v>190</v>
      </c>
      <c r="C39" s="36" t="s">
        <v>100</v>
      </c>
      <c r="D39" s="36" t="s">
        <v>109</v>
      </c>
      <c r="E39" s="34"/>
      <c r="F39" s="34" t="s">
        <v>46</v>
      </c>
      <c r="G39" s="34"/>
      <c r="H39" s="34" t="s">
        <v>47</v>
      </c>
      <c r="I39" s="34" t="s">
        <v>48</v>
      </c>
      <c r="J39" s="36"/>
    </row>
    <row r="40" customFormat="false" ht="18" hidden="false" customHeight="true" outlineLevel="0" collapsed="false">
      <c r="A40" s="40" t="n">
        <v>33</v>
      </c>
      <c r="B40" s="40" t="s">
        <v>191</v>
      </c>
      <c r="C40" s="42" t="s">
        <v>103</v>
      </c>
      <c r="D40" s="42" t="s">
        <v>101</v>
      </c>
      <c r="E40" s="40"/>
      <c r="F40" s="40" t="s">
        <v>46</v>
      </c>
      <c r="G40" s="40"/>
      <c r="H40" s="40" t="s">
        <v>47</v>
      </c>
      <c r="I40" s="40" t="s">
        <v>48</v>
      </c>
      <c r="J40" s="42"/>
    </row>
    <row r="41" customFormat="false" ht="18" hidden="false" customHeight="true" outlineLevel="0" collapsed="false">
      <c r="A41" s="34" t="n">
        <v>34</v>
      </c>
      <c r="B41" s="34" t="s">
        <v>192</v>
      </c>
      <c r="C41" s="36" t="s">
        <v>105</v>
      </c>
      <c r="D41" s="36" t="s">
        <v>106</v>
      </c>
      <c r="E41" s="34"/>
      <c r="F41" s="34" t="s">
        <v>46</v>
      </c>
      <c r="G41" s="34"/>
      <c r="H41" s="34" t="s">
        <v>47</v>
      </c>
      <c r="I41" s="34" t="s">
        <v>48</v>
      </c>
      <c r="J41" s="36"/>
    </row>
    <row r="42" customFormat="false" ht="21.75" hidden="false" customHeight="true" outlineLevel="0" collapsed="false">
      <c r="A42" s="108"/>
      <c r="B42" s="108"/>
      <c r="C42" s="107" t="s">
        <v>552</v>
      </c>
      <c r="D42" s="107"/>
      <c r="E42" s="107" t="n">
        <f aca="false">SUM(E8:E41)</f>
        <v>0</v>
      </c>
      <c r="F42" s="107"/>
      <c r="G42" s="107"/>
      <c r="H42" s="107"/>
      <c r="I42" s="107"/>
      <c r="J42" s="107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41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41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41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09" t="s">
        <v>555</v>
      </c>
      <c r="B1" s="109"/>
      <c r="C1" s="109"/>
      <c r="D1" s="109"/>
      <c r="E1" s="109"/>
      <c r="F1" s="109"/>
      <c r="G1" s="109"/>
      <c r="H1" s="109"/>
      <c r="I1" s="109"/>
      <c r="J1" s="109"/>
    </row>
    <row r="2" customFormat="false" ht="19.5" hidden="false" customHeight="true" outlineLevel="0" collapsed="false">
      <c r="A2" s="94" t="s">
        <v>556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10" t="s">
        <v>544</v>
      </c>
      <c r="B4" s="110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11" t="n">
        <v>33</v>
      </c>
      <c r="B5" s="111"/>
      <c r="C5" s="100" t="n">
        <f aca="false">COUNTIFS('🔧 Kerusakan'!E:E,"Angkona",'🔧 Kerusakan'!H:H,"RUSAK")</f>
        <v>0</v>
      </c>
      <c r="D5" s="100"/>
      <c r="E5" s="101" t="n">
        <f aca="false">COUNTIFS('🔧 Kerusakan'!E:E,"Angkona",'🔧 Kerusakan'!H:H,"HILANG")</f>
        <v>0</v>
      </c>
      <c r="F5" s="101"/>
      <c r="G5" s="102" t="n">
        <f aca="false">COUNTIF(J8:J41,"Baik")</f>
        <v>0</v>
      </c>
      <c r="H5" s="102"/>
    </row>
    <row r="7" customFormat="false" ht="30" hidden="false" customHeight="true" outlineLevel="0" collapsed="false">
      <c r="A7" s="112" t="s">
        <v>8</v>
      </c>
      <c r="B7" s="112" t="s">
        <v>548</v>
      </c>
      <c r="C7" s="112" t="s">
        <v>34</v>
      </c>
      <c r="D7" s="112" t="s">
        <v>35</v>
      </c>
      <c r="E7" s="112" t="s">
        <v>36</v>
      </c>
      <c r="F7" s="112" t="s">
        <v>37</v>
      </c>
      <c r="G7" s="112" t="s">
        <v>549</v>
      </c>
      <c r="H7" s="112" t="s">
        <v>17</v>
      </c>
      <c r="I7" s="112" t="s">
        <v>550</v>
      </c>
      <c r="J7" s="112" t="s">
        <v>551</v>
      </c>
    </row>
    <row r="8" customFormat="false" ht="18" hidden="false" customHeight="true" outlineLevel="0" collapsed="false">
      <c r="A8" s="46" t="n">
        <v>1</v>
      </c>
      <c r="B8" s="46" t="s">
        <v>196</v>
      </c>
      <c r="C8" s="48" t="s">
        <v>63</v>
      </c>
      <c r="D8" s="48" t="s">
        <v>195</v>
      </c>
      <c r="E8" s="46"/>
      <c r="F8" s="46" t="s">
        <v>46</v>
      </c>
      <c r="G8" s="46"/>
      <c r="H8" s="46" t="s">
        <v>47</v>
      </c>
      <c r="I8" s="46" t="s">
        <v>48</v>
      </c>
      <c r="J8" s="48"/>
    </row>
    <row r="9" customFormat="false" ht="18" hidden="false" customHeight="true" outlineLevel="0" collapsed="false">
      <c r="A9" s="34" t="n">
        <v>2</v>
      </c>
      <c r="B9" s="34" t="s">
        <v>197</v>
      </c>
      <c r="C9" s="36" t="s">
        <v>44</v>
      </c>
      <c r="D9" s="36" t="s">
        <v>45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46" t="n">
        <v>3</v>
      </c>
      <c r="B10" s="46" t="s">
        <v>199</v>
      </c>
      <c r="C10" s="48" t="s">
        <v>198</v>
      </c>
      <c r="D10" s="48" t="s">
        <v>118</v>
      </c>
      <c r="E10" s="46"/>
      <c r="F10" s="46" t="s">
        <v>46</v>
      </c>
      <c r="G10" s="46"/>
      <c r="H10" s="46" t="s">
        <v>47</v>
      </c>
      <c r="I10" s="46" t="s">
        <v>48</v>
      </c>
      <c r="J10" s="48"/>
    </row>
    <row r="11" customFormat="false" ht="18" hidden="false" customHeight="true" outlineLevel="0" collapsed="false">
      <c r="A11" s="34" t="n">
        <v>4</v>
      </c>
      <c r="B11" s="34" t="s">
        <v>201</v>
      </c>
      <c r="C11" s="36" t="s">
        <v>200</v>
      </c>
      <c r="D11" s="36" t="s">
        <v>59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46" t="n">
        <v>5</v>
      </c>
      <c r="B12" s="46" t="s">
        <v>202</v>
      </c>
      <c r="C12" s="48" t="s">
        <v>128</v>
      </c>
      <c r="D12" s="48" t="s">
        <v>51</v>
      </c>
      <c r="E12" s="46"/>
      <c r="F12" s="46" t="s">
        <v>46</v>
      </c>
      <c r="G12" s="46"/>
      <c r="H12" s="46" t="s">
        <v>47</v>
      </c>
      <c r="I12" s="46" t="s">
        <v>48</v>
      </c>
      <c r="J12" s="48"/>
    </row>
    <row r="13" customFormat="false" ht="18" hidden="false" customHeight="true" outlineLevel="0" collapsed="false">
      <c r="A13" s="34" t="n">
        <v>6</v>
      </c>
      <c r="B13" s="34" t="s">
        <v>205</v>
      </c>
      <c r="C13" s="36" t="s">
        <v>203</v>
      </c>
      <c r="D13" s="36" t="s">
        <v>204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46" t="n">
        <v>7</v>
      </c>
      <c r="B14" s="46" t="s">
        <v>207</v>
      </c>
      <c r="C14" s="48" t="s">
        <v>206</v>
      </c>
      <c r="D14" s="48" t="s">
        <v>64</v>
      </c>
      <c r="E14" s="46"/>
      <c r="F14" s="46" t="s">
        <v>46</v>
      </c>
      <c r="G14" s="46"/>
      <c r="H14" s="46" t="s">
        <v>47</v>
      </c>
      <c r="I14" s="46" t="s">
        <v>48</v>
      </c>
      <c r="J14" s="48"/>
    </row>
    <row r="15" customFormat="false" ht="18" hidden="false" customHeight="true" outlineLevel="0" collapsed="false">
      <c r="A15" s="34" t="n">
        <v>8</v>
      </c>
      <c r="B15" s="34" t="s">
        <v>209</v>
      </c>
      <c r="C15" s="36" t="s">
        <v>80</v>
      </c>
      <c r="D15" s="36" t="s">
        <v>208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46" t="n">
        <v>9</v>
      </c>
      <c r="B16" s="46" t="s">
        <v>211</v>
      </c>
      <c r="C16" s="48" t="s">
        <v>210</v>
      </c>
      <c r="D16" s="48" t="s">
        <v>137</v>
      </c>
      <c r="E16" s="46"/>
      <c r="F16" s="46" t="s">
        <v>46</v>
      </c>
      <c r="G16" s="46"/>
      <c r="H16" s="46" t="s">
        <v>47</v>
      </c>
      <c r="I16" s="46" t="s">
        <v>48</v>
      </c>
      <c r="J16" s="48"/>
    </row>
    <row r="17" customFormat="false" ht="18" hidden="false" customHeight="true" outlineLevel="0" collapsed="false">
      <c r="A17" s="34" t="n">
        <v>10</v>
      </c>
      <c r="B17" s="34" t="s">
        <v>213</v>
      </c>
      <c r="C17" s="36" t="s">
        <v>86</v>
      </c>
      <c r="D17" s="36" t="s">
        <v>212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46" t="n">
        <v>11</v>
      </c>
      <c r="B18" s="46" t="s">
        <v>215</v>
      </c>
      <c r="C18" s="48" t="s">
        <v>89</v>
      </c>
      <c r="D18" s="48" t="s">
        <v>214</v>
      </c>
      <c r="E18" s="46"/>
      <c r="F18" s="46" t="s">
        <v>46</v>
      </c>
      <c r="G18" s="46"/>
      <c r="H18" s="46" t="s">
        <v>47</v>
      </c>
      <c r="I18" s="46" t="s">
        <v>48</v>
      </c>
      <c r="J18" s="48"/>
    </row>
    <row r="19" customFormat="false" ht="18" hidden="false" customHeight="true" outlineLevel="0" collapsed="false">
      <c r="A19" s="34" t="n">
        <v>12</v>
      </c>
      <c r="B19" s="34" t="s">
        <v>216</v>
      </c>
      <c r="C19" s="36" t="s">
        <v>141</v>
      </c>
      <c r="D19" s="36" t="s">
        <v>87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46" t="n">
        <v>13</v>
      </c>
      <c r="B20" s="46" t="s">
        <v>217</v>
      </c>
      <c r="C20" s="48" t="s">
        <v>66</v>
      </c>
      <c r="D20" s="48" t="s">
        <v>90</v>
      </c>
      <c r="E20" s="46"/>
      <c r="F20" s="46" t="s">
        <v>46</v>
      </c>
      <c r="G20" s="46"/>
      <c r="H20" s="46" t="s">
        <v>47</v>
      </c>
      <c r="I20" s="46" t="s">
        <v>48</v>
      </c>
      <c r="J20" s="48"/>
    </row>
    <row r="21" customFormat="false" ht="18" hidden="false" customHeight="true" outlineLevel="0" collapsed="false">
      <c r="A21" s="34" t="n">
        <v>14</v>
      </c>
      <c r="B21" s="34" t="s">
        <v>218</v>
      </c>
      <c r="C21" s="36" t="s">
        <v>71</v>
      </c>
      <c r="D21" s="36" t="s">
        <v>72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46" t="n">
        <v>15</v>
      </c>
      <c r="B22" s="46" t="s">
        <v>220</v>
      </c>
      <c r="C22" s="48" t="s">
        <v>219</v>
      </c>
      <c r="D22" s="48" t="s">
        <v>75</v>
      </c>
      <c r="E22" s="46"/>
      <c r="F22" s="46" t="s">
        <v>46</v>
      </c>
      <c r="G22" s="46"/>
      <c r="H22" s="46" t="s">
        <v>47</v>
      </c>
      <c r="I22" s="46" t="s">
        <v>48</v>
      </c>
      <c r="J22" s="48"/>
    </row>
    <row r="23" customFormat="false" ht="18" hidden="false" customHeight="true" outlineLevel="0" collapsed="false">
      <c r="A23" s="34" t="n">
        <v>16</v>
      </c>
      <c r="B23" s="34" t="s">
        <v>222</v>
      </c>
      <c r="C23" s="36" t="s">
        <v>98</v>
      </c>
      <c r="D23" s="36" t="s">
        <v>221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46" t="n">
        <v>17</v>
      </c>
      <c r="B24" s="46" t="s">
        <v>224</v>
      </c>
      <c r="C24" s="48" t="s">
        <v>223</v>
      </c>
      <c r="D24" s="48" t="s">
        <v>154</v>
      </c>
      <c r="E24" s="46"/>
      <c r="F24" s="46" t="s">
        <v>46</v>
      </c>
      <c r="G24" s="46"/>
      <c r="H24" s="46" t="s">
        <v>47</v>
      </c>
      <c r="I24" s="46" t="s">
        <v>48</v>
      </c>
      <c r="J24" s="48"/>
    </row>
    <row r="25" customFormat="false" ht="18" hidden="false" customHeight="true" outlineLevel="0" collapsed="false">
      <c r="A25" s="34" t="n">
        <v>18</v>
      </c>
      <c r="B25" s="34" t="s">
        <v>226</v>
      </c>
      <c r="C25" s="36" t="s">
        <v>225</v>
      </c>
      <c r="D25" s="36" t="s">
        <v>152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46" t="n">
        <v>19</v>
      </c>
      <c r="B26" s="46" t="s">
        <v>229</v>
      </c>
      <c r="C26" s="48" t="s">
        <v>227</v>
      </c>
      <c r="D26" s="48" t="s">
        <v>228</v>
      </c>
      <c r="E26" s="46"/>
      <c r="F26" s="46" t="s">
        <v>46</v>
      </c>
      <c r="G26" s="46"/>
      <c r="H26" s="46" t="s">
        <v>47</v>
      </c>
      <c r="I26" s="46" t="s">
        <v>48</v>
      </c>
      <c r="J26" s="48"/>
    </row>
    <row r="27" customFormat="false" ht="18" hidden="false" customHeight="true" outlineLevel="0" collapsed="false">
      <c r="A27" s="34" t="n">
        <v>20</v>
      </c>
      <c r="B27" s="34" t="s">
        <v>232</v>
      </c>
      <c r="C27" s="36" t="s">
        <v>230</v>
      </c>
      <c r="D27" s="36" t="s">
        <v>231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46" t="n">
        <v>21</v>
      </c>
      <c r="B28" s="46" t="s">
        <v>235</v>
      </c>
      <c r="C28" s="48" t="s">
        <v>233</v>
      </c>
      <c r="D28" s="48" t="s">
        <v>234</v>
      </c>
      <c r="E28" s="46"/>
      <c r="F28" s="46" t="s">
        <v>46</v>
      </c>
      <c r="G28" s="46"/>
      <c r="H28" s="46" t="s">
        <v>47</v>
      </c>
      <c r="I28" s="46" t="s">
        <v>48</v>
      </c>
      <c r="J28" s="48"/>
    </row>
    <row r="29" customFormat="false" ht="18" hidden="false" customHeight="true" outlineLevel="0" collapsed="false">
      <c r="A29" s="34" t="n">
        <v>22</v>
      </c>
      <c r="B29" s="34" t="s">
        <v>236</v>
      </c>
      <c r="C29" s="36" t="s">
        <v>58</v>
      </c>
      <c r="D29" s="36" t="s">
        <v>109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46" t="n">
        <v>23</v>
      </c>
      <c r="B30" s="46" t="s">
        <v>239</v>
      </c>
      <c r="C30" s="48" t="s">
        <v>237</v>
      </c>
      <c r="D30" s="48" t="s">
        <v>238</v>
      </c>
      <c r="E30" s="46"/>
      <c r="F30" s="46" t="s">
        <v>46</v>
      </c>
      <c r="G30" s="46"/>
      <c r="H30" s="46" t="s">
        <v>47</v>
      </c>
      <c r="I30" s="46" t="s">
        <v>48</v>
      </c>
      <c r="J30" s="48"/>
    </row>
    <row r="31" customFormat="false" ht="18" hidden="false" customHeight="true" outlineLevel="0" collapsed="false">
      <c r="A31" s="34" t="n">
        <v>24</v>
      </c>
      <c r="B31" s="34" t="s">
        <v>240</v>
      </c>
      <c r="C31" s="36" t="s">
        <v>95</v>
      </c>
      <c r="D31" s="36" t="s">
        <v>84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46" t="n">
        <v>25</v>
      </c>
      <c r="B32" s="46" t="s">
        <v>241</v>
      </c>
      <c r="C32" s="48" t="s">
        <v>83</v>
      </c>
      <c r="D32" s="48" t="s">
        <v>69</v>
      </c>
      <c r="E32" s="46"/>
      <c r="F32" s="46" t="s">
        <v>46</v>
      </c>
      <c r="G32" s="46"/>
      <c r="H32" s="46" t="s">
        <v>47</v>
      </c>
      <c r="I32" s="46" t="s">
        <v>48</v>
      </c>
      <c r="J32" s="48"/>
    </row>
    <row r="33" customFormat="false" ht="18" hidden="false" customHeight="true" outlineLevel="0" collapsed="false">
      <c r="A33" s="34" t="n">
        <v>26</v>
      </c>
      <c r="B33" s="34" t="s">
        <v>243</v>
      </c>
      <c r="C33" s="36" t="s">
        <v>242</v>
      </c>
      <c r="D33" s="36" t="s">
        <v>234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46" t="n">
        <v>27</v>
      </c>
      <c r="B34" s="46" t="s">
        <v>244</v>
      </c>
      <c r="C34" s="48" t="s">
        <v>115</v>
      </c>
      <c r="D34" s="48" t="s">
        <v>109</v>
      </c>
      <c r="E34" s="46"/>
      <c r="F34" s="46" t="s">
        <v>46</v>
      </c>
      <c r="G34" s="46"/>
      <c r="H34" s="46" t="s">
        <v>47</v>
      </c>
      <c r="I34" s="46" t="s">
        <v>48</v>
      </c>
      <c r="J34" s="48"/>
    </row>
    <row r="35" customFormat="false" ht="18" hidden="false" customHeight="true" outlineLevel="0" collapsed="false">
      <c r="A35" s="34" t="n">
        <v>28</v>
      </c>
      <c r="B35" s="34" t="s">
        <v>245</v>
      </c>
      <c r="C35" s="36" t="s">
        <v>156</v>
      </c>
      <c r="D35" s="36" t="s">
        <v>96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46" t="n">
        <v>29</v>
      </c>
      <c r="B36" s="46" t="s">
        <v>246</v>
      </c>
      <c r="C36" s="48" t="s">
        <v>178</v>
      </c>
      <c r="D36" s="48" t="s">
        <v>72</v>
      </c>
      <c r="E36" s="46"/>
      <c r="F36" s="46" t="s">
        <v>46</v>
      </c>
      <c r="G36" s="46"/>
      <c r="H36" s="46" t="s">
        <v>47</v>
      </c>
      <c r="I36" s="46" t="s">
        <v>48</v>
      </c>
      <c r="J36" s="48"/>
    </row>
    <row r="37" customFormat="false" ht="18" hidden="false" customHeight="true" outlineLevel="0" collapsed="false">
      <c r="A37" s="34" t="n">
        <v>30</v>
      </c>
      <c r="B37" s="34" t="s">
        <v>247</v>
      </c>
      <c r="C37" s="36" t="s">
        <v>100</v>
      </c>
      <c r="D37" s="36" t="s">
        <v>84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18" hidden="false" customHeight="true" outlineLevel="0" collapsed="false">
      <c r="A38" s="46" t="n">
        <v>31</v>
      </c>
      <c r="B38" s="46" t="s">
        <v>248</v>
      </c>
      <c r="C38" s="48" t="s">
        <v>103</v>
      </c>
      <c r="D38" s="48" t="s">
        <v>69</v>
      </c>
      <c r="E38" s="46"/>
      <c r="F38" s="46" t="s">
        <v>46</v>
      </c>
      <c r="G38" s="46"/>
      <c r="H38" s="46" t="s">
        <v>47</v>
      </c>
      <c r="I38" s="46" t="s">
        <v>48</v>
      </c>
      <c r="J38" s="48"/>
    </row>
    <row r="39" customFormat="false" ht="18" hidden="false" customHeight="true" outlineLevel="0" collapsed="false">
      <c r="A39" s="34" t="n">
        <v>32</v>
      </c>
      <c r="B39" s="34" t="s">
        <v>249</v>
      </c>
      <c r="C39" s="36" t="s">
        <v>105</v>
      </c>
      <c r="D39" s="36" t="s">
        <v>69</v>
      </c>
      <c r="E39" s="34"/>
      <c r="F39" s="34" t="s">
        <v>46</v>
      </c>
      <c r="G39" s="34"/>
      <c r="H39" s="34" t="s">
        <v>47</v>
      </c>
      <c r="I39" s="34" t="s">
        <v>48</v>
      </c>
      <c r="J39" s="36"/>
    </row>
    <row r="40" customFormat="false" ht="18" hidden="false" customHeight="true" outlineLevel="0" collapsed="false">
      <c r="A40" s="46" t="n">
        <v>33</v>
      </c>
      <c r="B40" s="46" t="s">
        <v>250</v>
      </c>
      <c r="C40" s="48" t="s">
        <v>77</v>
      </c>
      <c r="D40" s="48" t="s">
        <v>78</v>
      </c>
      <c r="E40" s="46"/>
      <c r="F40" s="46" t="s">
        <v>46</v>
      </c>
      <c r="G40" s="46"/>
      <c r="H40" s="46" t="s">
        <v>47</v>
      </c>
      <c r="I40" s="46" t="s">
        <v>48</v>
      </c>
      <c r="J40" s="48"/>
    </row>
    <row r="41" customFormat="false" ht="21.75" hidden="false" customHeight="true" outlineLevel="0" collapsed="false">
      <c r="A41" s="113"/>
      <c r="B41" s="113"/>
      <c r="C41" s="112" t="s">
        <v>552</v>
      </c>
      <c r="D41" s="112"/>
      <c r="E41" s="112" t="n">
        <f aca="false">SUM(E8:E40)</f>
        <v>0</v>
      </c>
      <c r="F41" s="112"/>
      <c r="G41" s="112"/>
      <c r="H41" s="112"/>
      <c r="I41" s="112"/>
      <c r="J41" s="112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40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40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40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25" t="s">
        <v>557</v>
      </c>
      <c r="B1" s="25"/>
      <c r="C1" s="25"/>
      <c r="D1" s="25"/>
      <c r="E1" s="25"/>
      <c r="F1" s="25"/>
      <c r="G1" s="25"/>
      <c r="H1" s="25"/>
      <c r="I1" s="25"/>
      <c r="J1" s="25"/>
    </row>
    <row r="2" customFormat="false" ht="19.5" hidden="false" customHeight="true" outlineLevel="0" collapsed="false">
      <c r="A2" s="94" t="s">
        <v>558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14" t="s">
        <v>544</v>
      </c>
      <c r="B4" s="114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15" t="n">
        <v>43</v>
      </c>
      <c r="B5" s="115"/>
      <c r="C5" s="100" t="n">
        <f aca="false">COUNTIFS('🔧 Kerusakan'!E:E,"Tomoni",'🔧 Kerusakan'!H:H,"RUSAK")</f>
        <v>0</v>
      </c>
      <c r="D5" s="100"/>
      <c r="E5" s="101" t="n">
        <f aca="false">COUNTIFS('🔧 Kerusakan'!E:E,"Tomoni",'🔧 Kerusakan'!H:H,"HILANG")</f>
        <v>0</v>
      </c>
      <c r="F5" s="101"/>
      <c r="G5" s="102" t="n">
        <f aca="false">COUNTIF(J8:J51,"Baik")</f>
        <v>0</v>
      </c>
      <c r="H5" s="102"/>
    </row>
    <row r="7" customFormat="false" ht="30" hidden="false" customHeight="true" outlineLevel="0" collapsed="false">
      <c r="A7" s="27" t="s">
        <v>8</v>
      </c>
      <c r="B7" s="27" t="s">
        <v>548</v>
      </c>
      <c r="C7" s="27" t="s">
        <v>34</v>
      </c>
      <c r="D7" s="27" t="s">
        <v>35</v>
      </c>
      <c r="E7" s="27" t="s">
        <v>36</v>
      </c>
      <c r="F7" s="27" t="s">
        <v>37</v>
      </c>
      <c r="G7" s="27" t="s">
        <v>549</v>
      </c>
      <c r="H7" s="27" t="s">
        <v>17</v>
      </c>
      <c r="I7" s="27" t="s">
        <v>550</v>
      </c>
      <c r="J7" s="27" t="s">
        <v>551</v>
      </c>
    </row>
    <row r="8" customFormat="false" ht="18" hidden="false" customHeight="true" outlineLevel="0" collapsed="false">
      <c r="A8" s="52" t="n">
        <v>1</v>
      </c>
      <c r="B8" s="52" t="s">
        <v>254</v>
      </c>
      <c r="C8" s="54" t="s">
        <v>128</v>
      </c>
      <c r="D8" s="54" t="s">
        <v>253</v>
      </c>
      <c r="E8" s="52"/>
      <c r="F8" s="52" t="s">
        <v>46</v>
      </c>
      <c r="G8" s="52"/>
      <c r="H8" s="52" t="s">
        <v>47</v>
      </c>
      <c r="I8" s="52" t="s">
        <v>48</v>
      </c>
      <c r="J8" s="54"/>
    </row>
    <row r="9" customFormat="false" ht="18" hidden="false" customHeight="true" outlineLevel="0" collapsed="false">
      <c r="A9" s="34" t="n">
        <v>2</v>
      </c>
      <c r="B9" s="34" t="s">
        <v>256</v>
      </c>
      <c r="C9" s="36" t="s">
        <v>44</v>
      </c>
      <c r="D9" s="36" t="s">
        <v>255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52" t="n">
        <v>3</v>
      </c>
      <c r="B10" s="52" t="s">
        <v>257</v>
      </c>
      <c r="C10" s="54" t="s">
        <v>124</v>
      </c>
      <c r="D10" s="54" t="s">
        <v>45</v>
      </c>
      <c r="E10" s="52"/>
      <c r="F10" s="52" t="s">
        <v>46</v>
      </c>
      <c r="G10" s="52"/>
      <c r="H10" s="52" t="s">
        <v>47</v>
      </c>
      <c r="I10" s="52" t="s">
        <v>48</v>
      </c>
      <c r="J10" s="54"/>
    </row>
    <row r="11" customFormat="false" ht="18" hidden="false" customHeight="true" outlineLevel="0" collapsed="false">
      <c r="A11" s="34" t="n">
        <v>4</v>
      </c>
      <c r="B11" s="34" t="s">
        <v>259</v>
      </c>
      <c r="C11" s="36" t="s">
        <v>200</v>
      </c>
      <c r="D11" s="36" t="s">
        <v>258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52" t="n">
        <v>5</v>
      </c>
      <c r="B12" s="52" t="s">
        <v>262</v>
      </c>
      <c r="C12" s="54" t="s">
        <v>260</v>
      </c>
      <c r="D12" s="54" t="s">
        <v>261</v>
      </c>
      <c r="E12" s="52"/>
      <c r="F12" s="52" t="s">
        <v>46</v>
      </c>
      <c r="G12" s="52"/>
      <c r="H12" s="52" t="s">
        <v>47</v>
      </c>
      <c r="I12" s="52" t="s">
        <v>48</v>
      </c>
      <c r="J12" s="54"/>
    </row>
    <row r="13" customFormat="false" ht="18" hidden="false" customHeight="true" outlineLevel="0" collapsed="false">
      <c r="A13" s="34" t="n">
        <v>6</v>
      </c>
      <c r="B13" s="34" t="s">
        <v>263</v>
      </c>
      <c r="C13" s="36" t="s">
        <v>198</v>
      </c>
      <c r="D13" s="36" t="s">
        <v>118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52" t="n">
        <v>7</v>
      </c>
      <c r="B14" s="52" t="s">
        <v>265</v>
      </c>
      <c r="C14" s="54" t="s">
        <v>264</v>
      </c>
      <c r="D14" s="54" t="s">
        <v>64</v>
      </c>
      <c r="E14" s="52"/>
      <c r="F14" s="52" t="s">
        <v>46</v>
      </c>
      <c r="G14" s="52"/>
      <c r="H14" s="52" t="s">
        <v>47</v>
      </c>
      <c r="I14" s="52" t="s">
        <v>48</v>
      </c>
      <c r="J14" s="54"/>
    </row>
    <row r="15" customFormat="false" ht="18" hidden="false" customHeight="true" outlineLevel="0" collapsed="false">
      <c r="A15" s="34" t="n">
        <v>8</v>
      </c>
      <c r="B15" s="34" t="s">
        <v>267</v>
      </c>
      <c r="C15" s="36" t="s">
        <v>266</v>
      </c>
      <c r="D15" s="36" t="s">
        <v>56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52" t="n">
        <v>9</v>
      </c>
      <c r="B16" s="52" t="s">
        <v>269</v>
      </c>
      <c r="C16" s="54" t="s">
        <v>83</v>
      </c>
      <c r="D16" s="54" t="s">
        <v>268</v>
      </c>
      <c r="E16" s="52"/>
      <c r="F16" s="52" t="s">
        <v>46</v>
      </c>
      <c r="G16" s="52"/>
      <c r="H16" s="52" t="s">
        <v>47</v>
      </c>
      <c r="I16" s="52" t="s">
        <v>48</v>
      </c>
      <c r="J16" s="54"/>
    </row>
    <row r="17" customFormat="false" ht="18" hidden="false" customHeight="true" outlineLevel="0" collapsed="false">
      <c r="A17" s="34" t="n">
        <v>10</v>
      </c>
      <c r="B17" s="34" t="s">
        <v>270</v>
      </c>
      <c r="C17" s="36" t="s">
        <v>86</v>
      </c>
      <c r="D17" s="36" t="s">
        <v>87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52" t="n">
        <v>11</v>
      </c>
      <c r="B18" s="52" t="s">
        <v>272</v>
      </c>
      <c r="C18" s="54" t="s">
        <v>271</v>
      </c>
      <c r="D18" s="54" t="s">
        <v>90</v>
      </c>
      <c r="E18" s="52"/>
      <c r="F18" s="52" t="s">
        <v>46</v>
      </c>
      <c r="G18" s="52"/>
      <c r="H18" s="52" t="s">
        <v>47</v>
      </c>
      <c r="I18" s="52" t="s">
        <v>48</v>
      </c>
      <c r="J18" s="54"/>
    </row>
    <row r="19" customFormat="false" ht="18" hidden="false" customHeight="true" outlineLevel="0" collapsed="false">
      <c r="A19" s="34" t="n">
        <v>12</v>
      </c>
      <c r="B19" s="34" t="s">
        <v>273</v>
      </c>
      <c r="C19" s="36" t="s">
        <v>210</v>
      </c>
      <c r="D19" s="36" t="s">
        <v>72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52" t="n">
        <v>13</v>
      </c>
      <c r="B20" s="52" t="s">
        <v>274</v>
      </c>
      <c r="C20" s="54" t="s">
        <v>151</v>
      </c>
      <c r="D20" s="54" t="s">
        <v>75</v>
      </c>
      <c r="E20" s="52"/>
      <c r="F20" s="52" t="s">
        <v>46</v>
      </c>
      <c r="G20" s="52"/>
      <c r="H20" s="52" t="s">
        <v>47</v>
      </c>
      <c r="I20" s="52" t="s">
        <v>48</v>
      </c>
      <c r="J20" s="54"/>
    </row>
    <row r="21" customFormat="false" ht="18" hidden="false" customHeight="true" outlineLevel="0" collapsed="false">
      <c r="A21" s="34" t="n">
        <v>14</v>
      </c>
      <c r="B21" s="34" t="s">
        <v>275</v>
      </c>
      <c r="C21" s="36" t="s">
        <v>89</v>
      </c>
      <c r="D21" s="36" t="s">
        <v>154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52" t="n">
        <v>15</v>
      </c>
      <c r="B22" s="52" t="s">
        <v>276</v>
      </c>
      <c r="C22" s="54" t="s">
        <v>141</v>
      </c>
      <c r="D22" s="54" t="s">
        <v>152</v>
      </c>
      <c r="E22" s="52"/>
      <c r="F22" s="52" t="s">
        <v>46</v>
      </c>
      <c r="G22" s="52"/>
      <c r="H22" s="52" t="s">
        <v>47</v>
      </c>
      <c r="I22" s="52" t="s">
        <v>48</v>
      </c>
      <c r="J22" s="54"/>
    </row>
    <row r="23" customFormat="false" ht="18" hidden="false" customHeight="true" outlineLevel="0" collapsed="false">
      <c r="A23" s="34" t="n">
        <v>16</v>
      </c>
      <c r="B23" s="34" t="s">
        <v>278</v>
      </c>
      <c r="C23" s="36" t="s">
        <v>163</v>
      </c>
      <c r="D23" s="36" t="s">
        <v>277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52" t="n">
        <v>17</v>
      </c>
      <c r="B24" s="52" t="s">
        <v>279</v>
      </c>
      <c r="C24" s="54" t="s">
        <v>66</v>
      </c>
      <c r="D24" s="54" t="s">
        <v>72</v>
      </c>
      <c r="E24" s="52"/>
      <c r="F24" s="52" t="s">
        <v>46</v>
      </c>
      <c r="G24" s="52"/>
      <c r="H24" s="52" t="s">
        <v>47</v>
      </c>
      <c r="I24" s="52" t="s">
        <v>48</v>
      </c>
      <c r="J24" s="54"/>
    </row>
    <row r="25" customFormat="false" ht="18" hidden="false" customHeight="true" outlineLevel="0" collapsed="false">
      <c r="A25" s="34" t="n">
        <v>18</v>
      </c>
      <c r="B25" s="34" t="s">
        <v>280</v>
      </c>
      <c r="C25" s="36" t="s">
        <v>63</v>
      </c>
      <c r="D25" s="36" t="s">
        <v>174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52" t="n">
        <v>19</v>
      </c>
      <c r="B26" s="52" t="s">
        <v>281</v>
      </c>
      <c r="C26" s="54" t="s">
        <v>148</v>
      </c>
      <c r="D26" s="54" t="s">
        <v>166</v>
      </c>
      <c r="E26" s="52"/>
      <c r="F26" s="52" t="s">
        <v>46</v>
      </c>
      <c r="G26" s="52"/>
      <c r="H26" s="52" t="s">
        <v>47</v>
      </c>
      <c r="I26" s="52" t="s">
        <v>48</v>
      </c>
      <c r="J26" s="54"/>
    </row>
    <row r="27" customFormat="false" ht="18" hidden="false" customHeight="true" outlineLevel="0" collapsed="false">
      <c r="A27" s="34" t="n">
        <v>20</v>
      </c>
      <c r="B27" s="34" t="s">
        <v>282</v>
      </c>
      <c r="C27" s="36" t="s">
        <v>71</v>
      </c>
      <c r="D27" s="36" t="s">
        <v>87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52" t="n">
        <v>21</v>
      </c>
      <c r="B28" s="52" t="s">
        <v>284</v>
      </c>
      <c r="C28" s="54" t="s">
        <v>283</v>
      </c>
      <c r="D28" s="54" t="s">
        <v>169</v>
      </c>
      <c r="E28" s="52"/>
      <c r="F28" s="52" t="s">
        <v>46</v>
      </c>
      <c r="G28" s="52"/>
      <c r="H28" s="52" t="s">
        <v>47</v>
      </c>
      <c r="I28" s="52" t="s">
        <v>48</v>
      </c>
      <c r="J28" s="54"/>
    </row>
    <row r="29" customFormat="false" ht="18" hidden="false" customHeight="true" outlineLevel="0" collapsed="false">
      <c r="A29" s="34" t="n">
        <v>22</v>
      </c>
      <c r="B29" s="34" t="s">
        <v>285</v>
      </c>
      <c r="C29" s="36" t="s">
        <v>156</v>
      </c>
      <c r="D29" s="36" t="s">
        <v>101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52" t="n">
        <v>23</v>
      </c>
      <c r="B30" s="52" t="s">
        <v>286</v>
      </c>
      <c r="C30" s="54" t="s">
        <v>92</v>
      </c>
      <c r="D30" s="54" t="s">
        <v>109</v>
      </c>
      <c r="E30" s="52"/>
      <c r="F30" s="52" t="s">
        <v>46</v>
      </c>
      <c r="G30" s="52"/>
      <c r="H30" s="52" t="s">
        <v>47</v>
      </c>
      <c r="I30" s="52" t="s">
        <v>48</v>
      </c>
      <c r="J30" s="54"/>
    </row>
    <row r="31" customFormat="false" ht="18" hidden="false" customHeight="true" outlineLevel="0" collapsed="false">
      <c r="A31" s="34" t="n">
        <v>24</v>
      </c>
      <c r="B31" s="34" t="s">
        <v>287</v>
      </c>
      <c r="C31" s="36" t="s">
        <v>159</v>
      </c>
      <c r="D31" s="36" t="s">
        <v>180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52" t="n">
        <v>25</v>
      </c>
      <c r="B32" s="52" t="s">
        <v>288</v>
      </c>
      <c r="C32" s="54" t="s">
        <v>115</v>
      </c>
      <c r="D32" s="54" t="s">
        <v>106</v>
      </c>
      <c r="E32" s="52"/>
      <c r="F32" s="52" t="s">
        <v>46</v>
      </c>
      <c r="G32" s="52"/>
      <c r="H32" s="52" t="s">
        <v>47</v>
      </c>
      <c r="I32" s="52" t="s">
        <v>48</v>
      </c>
      <c r="J32" s="54"/>
    </row>
    <row r="33" customFormat="false" ht="18" hidden="false" customHeight="true" outlineLevel="0" collapsed="false">
      <c r="A33" s="34" t="n">
        <v>26</v>
      </c>
      <c r="B33" s="34" t="s">
        <v>289</v>
      </c>
      <c r="C33" s="36" t="s">
        <v>108</v>
      </c>
      <c r="D33" s="36" t="s">
        <v>84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52" t="n">
        <v>27</v>
      </c>
      <c r="B34" s="52" t="s">
        <v>290</v>
      </c>
      <c r="C34" s="54" t="s">
        <v>58</v>
      </c>
      <c r="D34" s="54" t="s">
        <v>69</v>
      </c>
      <c r="E34" s="52"/>
      <c r="F34" s="52" t="s">
        <v>46</v>
      </c>
      <c r="G34" s="52"/>
      <c r="H34" s="52" t="s">
        <v>47</v>
      </c>
      <c r="I34" s="52" t="s">
        <v>48</v>
      </c>
      <c r="J34" s="54"/>
    </row>
    <row r="35" customFormat="false" ht="18" hidden="false" customHeight="true" outlineLevel="0" collapsed="false">
      <c r="A35" s="34" t="n">
        <v>28</v>
      </c>
      <c r="B35" s="34" t="s">
        <v>291</v>
      </c>
      <c r="C35" s="36" t="s">
        <v>74</v>
      </c>
      <c r="D35" s="36" t="s">
        <v>188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52" t="n">
        <v>29</v>
      </c>
      <c r="B36" s="52" t="s">
        <v>293</v>
      </c>
      <c r="C36" s="54" t="s">
        <v>173</v>
      </c>
      <c r="D36" s="54" t="s">
        <v>292</v>
      </c>
      <c r="E36" s="52"/>
      <c r="F36" s="52" t="s">
        <v>46</v>
      </c>
      <c r="G36" s="52"/>
      <c r="H36" s="52" t="s">
        <v>47</v>
      </c>
      <c r="I36" s="52" t="s">
        <v>48</v>
      </c>
      <c r="J36" s="54"/>
    </row>
    <row r="37" customFormat="false" ht="18" hidden="false" customHeight="true" outlineLevel="0" collapsed="false">
      <c r="A37" s="34" t="n">
        <v>30</v>
      </c>
      <c r="B37" s="34" t="s">
        <v>295</v>
      </c>
      <c r="C37" s="36" t="s">
        <v>95</v>
      </c>
      <c r="D37" s="36" t="s">
        <v>294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18" hidden="false" customHeight="true" outlineLevel="0" collapsed="false">
      <c r="A38" s="52" t="n">
        <v>31</v>
      </c>
      <c r="B38" s="52" t="s">
        <v>296</v>
      </c>
      <c r="C38" s="54" t="s">
        <v>183</v>
      </c>
      <c r="D38" s="54" t="s">
        <v>78</v>
      </c>
      <c r="E38" s="52"/>
      <c r="F38" s="52" t="s">
        <v>46</v>
      </c>
      <c r="G38" s="52"/>
      <c r="H38" s="52" t="s">
        <v>47</v>
      </c>
      <c r="I38" s="52" t="s">
        <v>48</v>
      </c>
      <c r="J38" s="54"/>
    </row>
    <row r="39" customFormat="false" ht="18" hidden="false" customHeight="true" outlineLevel="0" collapsed="false">
      <c r="A39" s="34" t="n">
        <v>32</v>
      </c>
      <c r="B39" s="34" t="s">
        <v>298</v>
      </c>
      <c r="C39" s="36" t="s">
        <v>111</v>
      </c>
      <c r="D39" s="36" t="s">
        <v>297</v>
      </c>
      <c r="E39" s="34"/>
      <c r="F39" s="34" t="s">
        <v>46</v>
      </c>
      <c r="G39" s="34"/>
      <c r="H39" s="34" t="s">
        <v>47</v>
      </c>
      <c r="I39" s="34" t="s">
        <v>48</v>
      </c>
      <c r="J39" s="36"/>
    </row>
    <row r="40" customFormat="false" ht="18" hidden="false" customHeight="true" outlineLevel="0" collapsed="false">
      <c r="A40" s="52" t="n">
        <v>33</v>
      </c>
      <c r="B40" s="52" t="s">
        <v>299</v>
      </c>
      <c r="C40" s="54" t="s">
        <v>186</v>
      </c>
      <c r="D40" s="54" t="s">
        <v>109</v>
      </c>
      <c r="E40" s="52"/>
      <c r="F40" s="52" t="s">
        <v>46</v>
      </c>
      <c r="G40" s="52"/>
      <c r="H40" s="52" t="s">
        <v>47</v>
      </c>
      <c r="I40" s="52" t="s">
        <v>48</v>
      </c>
      <c r="J40" s="54"/>
    </row>
    <row r="41" customFormat="false" ht="18" hidden="false" customHeight="true" outlineLevel="0" collapsed="false">
      <c r="A41" s="34" t="n">
        <v>34</v>
      </c>
      <c r="B41" s="34" t="s">
        <v>300</v>
      </c>
      <c r="C41" s="36" t="s">
        <v>178</v>
      </c>
      <c r="D41" s="36" t="s">
        <v>72</v>
      </c>
      <c r="E41" s="34"/>
      <c r="F41" s="34" t="s">
        <v>46</v>
      </c>
      <c r="G41" s="34"/>
      <c r="H41" s="34" t="s">
        <v>47</v>
      </c>
      <c r="I41" s="34" t="s">
        <v>48</v>
      </c>
      <c r="J41" s="36"/>
    </row>
    <row r="42" customFormat="false" ht="18" hidden="false" customHeight="true" outlineLevel="0" collapsed="false">
      <c r="A42" s="52" t="n">
        <v>35</v>
      </c>
      <c r="B42" s="52" t="s">
        <v>301</v>
      </c>
      <c r="C42" s="54" t="s">
        <v>120</v>
      </c>
      <c r="D42" s="54" t="s">
        <v>106</v>
      </c>
      <c r="E42" s="52"/>
      <c r="F42" s="52" t="s">
        <v>46</v>
      </c>
      <c r="G42" s="52"/>
      <c r="H42" s="52" t="s">
        <v>47</v>
      </c>
      <c r="I42" s="52" t="s">
        <v>48</v>
      </c>
      <c r="J42" s="54"/>
    </row>
    <row r="43" customFormat="false" ht="18" hidden="false" customHeight="true" outlineLevel="0" collapsed="false">
      <c r="A43" s="34" t="n">
        <v>36</v>
      </c>
      <c r="B43" s="34" t="s">
        <v>302</v>
      </c>
      <c r="C43" s="36" t="s">
        <v>100</v>
      </c>
      <c r="D43" s="36" t="s">
        <v>101</v>
      </c>
      <c r="E43" s="34"/>
      <c r="F43" s="34" t="s">
        <v>46</v>
      </c>
      <c r="G43" s="34"/>
      <c r="H43" s="34" t="s">
        <v>47</v>
      </c>
      <c r="I43" s="34" t="s">
        <v>48</v>
      </c>
      <c r="J43" s="36"/>
    </row>
    <row r="44" customFormat="false" ht="18" hidden="false" customHeight="true" outlineLevel="0" collapsed="false">
      <c r="A44" s="52" t="n">
        <v>37</v>
      </c>
      <c r="B44" s="52" t="s">
        <v>303</v>
      </c>
      <c r="C44" s="54" t="s">
        <v>103</v>
      </c>
      <c r="D44" s="54" t="s">
        <v>84</v>
      </c>
      <c r="E44" s="52"/>
      <c r="F44" s="52" t="s">
        <v>46</v>
      </c>
      <c r="G44" s="52"/>
      <c r="H44" s="52" t="s">
        <v>47</v>
      </c>
      <c r="I44" s="52" t="s">
        <v>48</v>
      </c>
      <c r="J44" s="54"/>
    </row>
    <row r="45" customFormat="false" ht="18" hidden="false" customHeight="true" outlineLevel="0" collapsed="false">
      <c r="A45" s="34" t="n">
        <v>38</v>
      </c>
      <c r="B45" s="34" t="s">
        <v>304</v>
      </c>
      <c r="C45" s="36" t="s">
        <v>105</v>
      </c>
      <c r="D45" s="36" t="s">
        <v>69</v>
      </c>
      <c r="E45" s="34"/>
      <c r="F45" s="34" t="s">
        <v>46</v>
      </c>
      <c r="G45" s="34"/>
      <c r="H45" s="34" t="s">
        <v>47</v>
      </c>
      <c r="I45" s="34" t="s">
        <v>48</v>
      </c>
      <c r="J45" s="36"/>
    </row>
    <row r="46" customFormat="false" ht="18" hidden="false" customHeight="true" outlineLevel="0" collapsed="false">
      <c r="A46" s="52" t="n">
        <v>39</v>
      </c>
      <c r="B46" s="52" t="s">
        <v>306</v>
      </c>
      <c r="C46" s="54" t="s">
        <v>305</v>
      </c>
      <c r="D46" s="54" t="s">
        <v>96</v>
      </c>
      <c r="E46" s="52"/>
      <c r="F46" s="52" t="s">
        <v>46</v>
      </c>
      <c r="G46" s="52"/>
      <c r="H46" s="52" t="s">
        <v>47</v>
      </c>
      <c r="I46" s="52" t="s">
        <v>48</v>
      </c>
      <c r="J46" s="54"/>
    </row>
    <row r="47" customFormat="false" ht="18" hidden="false" customHeight="true" outlineLevel="0" collapsed="false">
      <c r="A47" s="34" t="n">
        <v>40</v>
      </c>
      <c r="B47" s="34" t="s">
        <v>308</v>
      </c>
      <c r="C47" s="36" t="s">
        <v>307</v>
      </c>
      <c r="D47" s="36" t="s">
        <v>294</v>
      </c>
      <c r="E47" s="34"/>
      <c r="F47" s="34" t="s">
        <v>46</v>
      </c>
      <c r="G47" s="34"/>
      <c r="H47" s="34" t="s">
        <v>47</v>
      </c>
      <c r="I47" s="34" t="s">
        <v>48</v>
      </c>
      <c r="J47" s="36"/>
    </row>
    <row r="48" customFormat="false" ht="18" hidden="false" customHeight="true" outlineLevel="0" collapsed="false">
      <c r="A48" s="52" t="n">
        <v>41</v>
      </c>
      <c r="B48" s="52" t="s">
        <v>310</v>
      </c>
      <c r="C48" s="54" t="s">
        <v>309</v>
      </c>
      <c r="D48" s="54" t="s">
        <v>78</v>
      </c>
      <c r="E48" s="52"/>
      <c r="F48" s="52" t="s">
        <v>46</v>
      </c>
      <c r="G48" s="52"/>
      <c r="H48" s="52" t="s">
        <v>47</v>
      </c>
      <c r="I48" s="52" t="s">
        <v>48</v>
      </c>
      <c r="J48" s="54"/>
    </row>
    <row r="49" customFormat="false" ht="18" hidden="false" customHeight="true" outlineLevel="0" collapsed="false">
      <c r="A49" s="34" t="n">
        <v>42</v>
      </c>
      <c r="B49" s="34" t="s">
        <v>311</v>
      </c>
      <c r="C49" s="36" t="s">
        <v>283</v>
      </c>
      <c r="D49" s="36" t="s">
        <v>96</v>
      </c>
      <c r="E49" s="34"/>
      <c r="F49" s="34" t="s">
        <v>46</v>
      </c>
      <c r="G49" s="34"/>
      <c r="H49" s="34" t="s">
        <v>47</v>
      </c>
      <c r="I49" s="34" t="s">
        <v>48</v>
      </c>
      <c r="J49" s="36"/>
    </row>
    <row r="50" customFormat="false" ht="18" hidden="false" customHeight="true" outlineLevel="0" collapsed="false">
      <c r="A50" s="52" t="n">
        <v>43</v>
      </c>
      <c r="B50" s="52" t="s">
        <v>313</v>
      </c>
      <c r="C50" s="54" t="s">
        <v>312</v>
      </c>
      <c r="D50" s="54" t="s">
        <v>87</v>
      </c>
      <c r="E50" s="52"/>
      <c r="F50" s="52" t="s">
        <v>46</v>
      </c>
      <c r="G50" s="52"/>
      <c r="H50" s="52" t="s">
        <v>47</v>
      </c>
      <c r="I50" s="52" t="s">
        <v>48</v>
      </c>
      <c r="J50" s="54"/>
    </row>
    <row r="51" customFormat="false" ht="21.75" hidden="false" customHeight="true" outlineLevel="0" collapsed="false">
      <c r="A51" s="116"/>
      <c r="B51" s="116"/>
      <c r="C51" s="27" t="s">
        <v>552</v>
      </c>
      <c r="D51" s="27"/>
      <c r="E51" s="27" t="n">
        <f aca="false">SUM(E8:E50)</f>
        <v>0</v>
      </c>
      <c r="F51" s="27"/>
      <c r="G51" s="27"/>
      <c r="H51" s="27"/>
      <c r="I51" s="27"/>
      <c r="J51" s="27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50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50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50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17" t="s">
        <v>559</v>
      </c>
      <c r="B1" s="117"/>
      <c r="C1" s="117"/>
      <c r="D1" s="117"/>
      <c r="E1" s="117"/>
      <c r="F1" s="117"/>
      <c r="G1" s="117"/>
      <c r="H1" s="117"/>
      <c r="I1" s="117"/>
      <c r="J1" s="117"/>
    </row>
    <row r="2" customFormat="false" ht="19.5" hidden="false" customHeight="true" outlineLevel="0" collapsed="false">
      <c r="A2" s="94" t="s">
        <v>560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18" t="s">
        <v>544</v>
      </c>
      <c r="B4" s="118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19" t="n">
        <v>30</v>
      </c>
      <c r="B5" s="119"/>
      <c r="C5" s="100" t="n">
        <f aca="false">COUNTIFS('🔧 Kerusakan'!E:E,"Wasuponda",'🔧 Kerusakan'!H:H,"RUSAK")</f>
        <v>0</v>
      </c>
      <c r="D5" s="100"/>
      <c r="E5" s="101" t="n">
        <f aca="false">COUNTIFS('🔧 Kerusakan'!E:E,"Wasuponda",'🔧 Kerusakan'!H:H,"HILANG")</f>
        <v>0</v>
      </c>
      <c r="F5" s="101"/>
      <c r="G5" s="102" t="n">
        <f aca="false">COUNTIF(J8:J38,"Baik")</f>
        <v>0</v>
      </c>
      <c r="H5" s="102"/>
    </row>
    <row r="7" customFormat="false" ht="30" hidden="false" customHeight="true" outlineLevel="0" collapsed="false">
      <c r="A7" s="120" t="s">
        <v>8</v>
      </c>
      <c r="B7" s="120" t="s">
        <v>548</v>
      </c>
      <c r="C7" s="120" t="s">
        <v>34</v>
      </c>
      <c r="D7" s="120" t="s">
        <v>35</v>
      </c>
      <c r="E7" s="120" t="s">
        <v>36</v>
      </c>
      <c r="F7" s="120" t="s">
        <v>37</v>
      </c>
      <c r="G7" s="120" t="s">
        <v>549</v>
      </c>
      <c r="H7" s="120" t="s">
        <v>17</v>
      </c>
      <c r="I7" s="120" t="s">
        <v>550</v>
      </c>
      <c r="J7" s="120" t="s">
        <v>551</v>
      </c>
    </row>
    <row r="8" customFormat="false" ht="18" hidden="false" customHeight="true" outlineLevel="0" collapsed="false">
      <c r="A8" s="58" t="n">
        <v>1</v>
      </c>
      <c r="B8" s="58" t="s">
        <v>316</v>
      </c>
      <c r="C8" s="60" t="s">
        <v>44</v>
      </c>
      <c r="D8" s="60" t="s">
        <v>45</v>
      </c>
      <c r="E8" s="58"/>
      <c r="F8" s="58" t="s">
        <v>46</v>
      </c>
      <c r="G8" s="58"/>
      <c r="H8" s="58" t="s">
        <v>47</v>
      </c>
      <c r="I8" s="58" t="s">
        <v>48</v>
      </c>
      <c r="J8" s="60"/>
    </row>
    <row r="9" customFormat="false" ht="18" hidden="false" customHeight="true" outlineLevel="0" collapsed="false">
      <c r="A9" s="34" t="n">
        <v>2</v>
      </c>
      <c r="B9" s="34" t="s">
        <v>317</v>
      </c>
      <c r="C9" s="36" t="s">
        <v>50</v>
      </c>
      <c r="D9" s="36" t="s">
        <v>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58" t="n">
        <v>3</v>
      </c>
      <c r="B10" s="58" t="s">
        <v>318</v>
      </c>
      <c r="C10" s="60" t="s">
        <v>53</v>
      </c>
      <c r="D10" s="60" t="s">
        <v>51</v>
      </c>
      <c r="E10" s="58"/>
      <c r="F10" s="58" t="s">
        <v>46</v>
      </c>
      <c r="G10" s="58"/>
      <c r="H10" s="58" t="s">
        <v>47</v>
      </c>
      <c r="I10" s="58" t="s">
        <v>48</v>
      </c>
      <c r="J10" s="60"/>
    </row>
    <row r="11" customFormat="false" ht="18" hidden="false" customHeight="true" outlineLevel="0" collapsed="false">
      <c r="A11" s="34" t="n">
        <v>4</v>
      </c>
      <c r="B11" s="34" t="s">
        <v>319</v>
      </c>
      <c r="C11" s="36" t="s">
        <v>55</v>
      </c>
      <c r="D11" s="36" t="s">
        <v>56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58" t="n">
        <v>5</v>
      </c>
      <c r="B12" s="58" t="s">
        <v>320</v>
      </c>
      <c r="C12" s="60" t="s">
        <v>58</v>
      </c>
      <c r="D12" s="60" t="s">
        <v>59</v>
      </c>
      <c r="E12" s="58"/>
      <c r="F12" s="58" t="s">
        <v>46</v>
      </c>
      <c r="G12" s="58"/>
      <c r="H12" s="58" t="s">
        <v>47</v>
      </c>
      <c r="I12" s="58" t="s">
        <v>48</v>
      </c>
      <c r="J12" s="60"/>
    </row>
    <row r="13" customFormat="false" ht="18" hidden="false" customHeight="true" outlineLevel="0" collapsed="false">
      <c r="A13" s="34" t="n">
        <v>6</v>
      </c>
      <c r="B13" s="34" t="s">
        <v>321</v>
      </c>
      <c r="C13" s="36" t="s">
        <v>61</v>
      </c>
      <c r="D13" s="36" t="s">
        <v>59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58" t="n">
        <v>7</v>
      </c>
      <c r="B14" s="58" t="s">
        <v>322</v>
      </c>
      <c r="C14" s="60" t="s">
        <v>63</v>
      </c>
      <c r="D14" s="60" t="s">
        <v>64</v>
      </c>
      <c r="E14" s="58"/>
      <c r="F14" s="58" t="s">
        <v>46</v>
      </c>
      <c r="G14" s="58"/>
      <c r="H14" s="58" t="s">
        <v>47</v>
      </c>
      <c r="I14" s="58" t="s">
        <v>48</v>
      </c>
      <c r="J14" s="60"/>
    </row>
    <row r="15" customFormat="false" ht="18" hidden="false" customHeight="true" outlineLevel="0" collapsed="false">
      <c r="A15" s="34" t="n">
        <v>8</v>
      </c>
      <c r="B15" s="34" t="s">
        <v>323</v>
      </c>
      <c r="C15" s="36" t="s">
        <v>66</v>
      </c>
      <c r="D15" s="36" t="s">
        <v>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58" t="n">
        <v>9</v>
      </c>
      <c r="B16" s="58" t="s">
        <v>324</v>
      </c>
      <c r="C16" s="60" t="s">
        <v>68</v>
      </c>
      <c r="D16" s="60" t="s">
        <v>69</v>
      </c>
      <c r="E16" s="58"/>
      <c r="F16" s="58" t="s">
        <v>46</v>
      </c>
      <c r="G16" s="58"/>
      <c r="H16" s="58" t="s">
        <v>47</v>
      </c>
      <c r="I16" s="58" t="s">
        <v>48</v>
      </c>
      <c r="J16" s="60"/>
    </row>
    <row r="17" customFormat="false" ht="18" hidden="false" customHeight="true" outlineLevel="0" collapsed="false">
      <c r="A17" s="34" t="n">
        <v>10</v>
      </c>
      <c r="B17" s="34" t="s">
        <v>325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58" t="n">
        <v>11</v>
      </c>
      <c r="B18" s="58" t="s">
        <v>326</v>
      </c>
      <c r="C18" s="60" t="s">
        <v>74</v>
      </c>
      <c r="D18" s="60" t="s">
        <v>75</v>
      </c>
      <c r="E18" s="58"/>
      <c r="F18" s="58" t="s">
        <v>46</v>
      </c>
      <c r="G18" s="58"/>
      <c r="H18" s="58" t="s">
        <v>47</v>
      </c>
      <c r="I18" s="58" t="s">
        <v>48</v>
      </c>
      <c r="J18" s="60"/>
    </row>
    <row r="19" customFormat="false" ht="18" hidden="false" customHeight="true" outlineLevel="0" collapsed="false">
      <c r="A19" s="34" t="n">
        <v>12</v>
      </c>
      <c r="B19" s="34" t="s">
        <v>327</v>
      </c>
      <c r="C19" s="36" t="s">
        <v>77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58" t="n">
        <v>13</v>
      </c>
      <c r="B20" s="58" t="s">
        <v>328</v>
      </c>
      <c r="C20" s="60" t="s">
        <v>80</v>
      </c>
      <c r="D20" s="60" t="s">
        <v>81</v>
      </c>
      <c r="E20" s="58"/>
      <c r="F20" s="58" t="s">
        <v>46</v>
      </c>
      <c r="G20" s="58"/>
      <c r="H20" s="58" t="s">
        <v>47</v>
      </c>
      <c r="I20" s="58" t="s">
        <v>48</v>
      </c>
      <c r="J20" s="60"/>
    </row>
    <row r="21" customFormat="false" ht="18" hidden="false" customHeight="true" outlineLevel="0" collapsed="false">
      <c r="A21" s="34" t="n">
        <v>14</v>
      </c>
      <c r="B21" s="34" t="s">
        <v>329</v>
      </c>
      <c r="C21" s="36" t="s">
        <v>83</v>
      </c>
      <c r="D21" s="36" t="s">
        <v>84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58" t="n">
        <v>15</v>
      </c>
      <c r="B22" s="58" t="s">
        <v>330</v>
      </c>
      <c r="C22" s="60" t="s">
        <v>86</v>
      </c>
      <c r="D22" s="60" t="s">
        <v>87</v>
      </c>
      <c r="E22" s="58"/>
      <c r="F22" s="58" t="s">
        <v>46</v>
      </c>
      <c r="G22" s="58"/>
      <c r="H22" s="58" t="s">
        <v>47</v>
      </c>
      <c r="I22" s="58" t="s">
        <v>48</v>
      </c>
      <c r="J22" s="60"/>
    </row>
    <row r="23" customFormat="false" ht="18" hidden="false" customHeight="true" outlineLevel="0" collapsed="false">
      <c r="A23" s="34" t="n">
        <v>16</v>
      </c>
      <c r="B23" s="34" t="s">
        <v>331</v>
      </c>
      <c r="C23" s="36" t="s">
        <v>89</v>
      </c>
      <c r="D23" s="36" t="s">
        <v>90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58" t="n">
        <v>17</v>
      </c>
      <c r="B24" s="58" t="s">
        <v>332</v>
      </c>
      <c r="C24" s="60" t="s">
        <v>92</v>
      </c>
      <c r="D24" s="60" t="s">
        <v>93</v>
      </c>
      <c r="E24" s="58"/>
      <c r="F24" s="58" t="s">
        <v>46</v>
      </c>
      <c r="G24" s="58"/>
      <c r="H24" s="58" t="s">
        <v>47</v>
      </c>
      <c r="I24" s="58" t="s">
        <v>48</v>
      </c>
      <c r="J24" s="60"/>
    </row>
    <row r="25" customFormat="false" ht="18" hidden="false" customHeight="true" outlineLevel="0" collapsed="false">
      <c r="A25" s="34" t="n">
        <v>18</v>
      </c>
      <c r="B25" s="34" t="s">
        <v>333</v>
      </c>
      <c r="C25" s="36" t="s">
        <v>95</v>
      </c>
      <c r="D25" s="36" t="s">
        <v>96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58" t="n">
        <v>19</v>
      </c>
      <c r="B26" s="58" t="s">
        <v>334</v>
      </c>
      <c r="C26" s="60" t="s">
        <v>98</v>
      </c>
      <c r="D26" s="60" t="s">
        <v>69</v>
      </c>
      <c r="E26" s="58"/>
      <c r="F26" s="58" t="s">
        <v>46</v>
      </c>
      <c r="G26" s="58"/>
      <c r="H26" s="58" t="s">
        <v>47</v>
      </c>
      <c r="I26" s="58" t="s">
        <v>48</v>
      </c>
      <c r="J26" s="60"/>
    </row>
    <row r="27" customFormat="false" ht="18" hidden="false" customHeight="true" outlineLevel="0" collapsed="false">
      <c r="A27" s="34" t="n">
        <v>20</v>
      </c>
      <c r="B27" s="34" t="s">
        <v>335</v>
      </c>
      <c r="C27" s="36" t="s">
        <v>100</v>
      </c>
      <c r="D27" s="36" t="s">
        <v>101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58" t="n">
        <v>21</v>
      </c>
      <c r="B28" s="58" t="s">
        <v>336</v>
      </c>
      <c r="C28" s="60" t="s">
        <v>103</v>
      </c>
      <c r="D28" s="60" t="s">
        <v>84</v>
      </c>
      <c r="E28" s="58"/>
      <c r="F28" s="58" t="s">
        <v>46</v>
      </c>
      <c r="G28" s="58"/>
      <c r="H28" s="58" t="s">
        <v>47</v>
      </c>
      <c r="I28" s="58" t="s">
        <v>48</v>
      </c>
      <c r="J28" s="60"/>
    </row>
    <row r="29" customFormat="false" ht="18" hidden="false" customHeight="true" outlineLevel="0" collapsed="false">
      <c r="A29" s="34" t="n">
        <v>22</v>
      </c>
      <c r="B29" s="34" t="s">
        <v>337</v>
      </c>
      <c r="C29" s="36" t="s">
        <v>105</v>
      </c>
      <c r="D29" s="36" t="s">
        <v>106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58" t="n">
        <v>23</v>
      </c>
      <c r="B30" s="58" t="s">
        <v>338</v>
      </c>
      <c r="C30" s="60" t="s">
        <v>108</v>
      </c>
      <c r="D30" s="60" t="s">
        <v>109</v>
      </c>
      <c r="E30" s="58"/>
      <c r="F30" s="58" t="s">
        <v>46</v>
      </c>
      <c r="G30" s="58"/>
      <c r="H30" s="58" t="s">
        <v>47</v>
      </c>
      <c r="I30" s="58" t="s">
        <v>48</v>
      </c>
      <c r="J30" s="60"/>
    </row>
    <row r="31" customFormat="false" ht="18" hidden="false" customHeight="true" outlineLevel="0" collapsed="false">
      <c r="A31" s="34" t="n">
        <v>24</v>
      </c>
      <c r="B31" s="34" t="s">
        <v>339</v>
      </c>
      <c r="C31" s="36" t="s">
        <v>111</v>
      </c>
      <c r="D31" s="36" t="s">
        <v>96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58" t="n">
        <v>25</v>
      </c>
      <c r="B32" s="58" t="s">
        <v>340</v>
      </c>
      <c r="C32" s="60" t="s">
        <v>113</v>
      </c>
      <c r="D32" s="60" t="s">
        <v>96</v>
      </c>
      <c r="E32" s="58"/>
      <c r="F32" s="58" t="s">
        <v>46</v>
      </c>
      <c r="G32" s="58"/>
      <c r="H32" s="58" t="s">
        <v>47</v>
      </c>
      <c r="I32" s="58" t="s">
        <v>48</v>
      </c>
      <c r="J32" s="60"/>
    </row>
    <row r="33" customFormat="false" ht="18" hidden="false" customHeight="true" outlineLevel="0" collapsed="false">
      <c r="A33" s="34" t="n">
        <v>26</v>
      </c>
      <c r="B33" s="34" t="s">
        <v>341</v>
      </c>
      <c r="C33" s="36" t="s">
        <v>115</v>
      </c>
      <c r="D33" s="36" t="s">
        <v>96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58" t="n">
        <v>27</v>
      </c>
      <c r="B34" s="58" t="s">
        <v>342</v>
      </c>
      <c r="C34" s="60" t="s">
        <v>117</v>
      </c>
      <c r="D34" s="60" t="s">
        <v>118</v>
      </c>
      <c r="E34" s="58"/>
      <c r="F34" s="58" t="s">
        <v>46</v>
      </c>
      <c r="G34" s="58"/>
      <c r="H34" s="58" t="s">
        <v>47</v>
      </c>
      <c r="I34" s="58" t="s">
        <v>48</v>
      </c>
      <c r="J34" s="60"/>
    </row>
    <row r="35" customFormat="false" ht="18" hidden="false" customHeight="true" outlineLevel="0" collapsed="false">
      <c r="A35" s="34" t="n">
        <v>28</v>
      </c>
      <c r="B35" s="34" t="s">
        <v>343</v>
      </c>
      <c r="C35" s="36" t="s">
        <v>120</v>
      </c>
      <c r="D35" s="36" t="s">
        <v>106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58" t="n">
        <v>29</v>
      </c>
      <c r="B36" s="58" t="s">
        <v>344</v>
      </c>
      <c r="C36" s="60" t="s">
        <v>122</v>
      </c>
      <c r="D36" s="60" t="s">
        <v>51</v>
      </c>
      <c r="E36" s="58"/>
      <c r="F36" s="58" t="s">
        <v>46</v>
      </c>
      <c r="G36" s="58"/>
      <c r="H36" s="58" t="s">
        <v>47</v>
      </c>
      <c r="I36" s="58" t="s">
        <v>48</v>
      </c>
      <c r="J36" s="60"/>
    </row>
    <row r="37" customFormat="false" ht="18" hidden="false" customHeight="true" outlineLevel="0" collapsed="false">
      <c r="A37" s="34" t="n">
        <v>30</v>
      </c>
      <c r="B37" s="34" t="s">
        <v>345</v>
      </c>
      <c r="C37" s="36" t="s">
        <v>124</v>
      </c>
      <c r="D37" s="36" t="s">
        <v>96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21.75" hidden="false" customHeight="true" outlineLevel="0" collapsed="false">
      <c r="A38" s="121"/>
      <c r="B38" s="121"/>
      <c r="C38" s="120" t="s">
        <v>552</v>
      </c>
      <c r="D38" s="120"/>
      <c r="E38" s="120" t="n">
        <f aca="false">SUM(E8:E37)</f>
        <v>0</v>
      </c>
      <c r="F38" s="120"/>
      <c r="G38" s="120"/>
      <c r="H38" s="120"/>
      <c r="I38" s="120"/>
      <c r="J38" s="120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7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7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7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22" t="s">
        <v>561</v>
      </c>
      <c r="B1" s="122"/>
      <c r="C1" s="122"/>
      <c r="D1" s="122"/>
      <c r="E1" s="122"/>
      <c r="F1" s="122"/>
      <c r="G1" s="122"/>
      <c r="H1" s="122"/>
      <c r="I1" s="122"/>
      <c r="J1" s="122"/>
    </row>
    <row r="2" customFormat="false" ht="19.5" hidden="false" customHeight="true" outlineLevel="0" collapsed="false">
      <c r="A2" s="94" t="s">
        <v>562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96" t="s">
        <v>544</v>
      </c>
      <c r="B4" s="96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00" t="n">
        <v>29</v>
      </c>
      <c r="B5" s="100"/>
      <c r="C5" s="100" t="n">
        <f aca="false">COUNTIFS('🔧 Kerusakan'!E:E,"Baruga",'🔧 Kerusakan'!H:H,"RUSAK")</f>
        <v>0</v>
      </c>
      <c r="D5" s="100"/>
      <c r="E5" s="101" t="n">
        <f aca="false">COUNTIFS('🔧 Kerusakan'!E:E,"Baruga",'🔧 Kerusakan'!H:H,"HILANG")</f>
        <v>0</v>
      </c>
      <c r="F5" s="101"/>
      <c r="G5" s="102" t="n">
        <f aca="false">COUNTIF(J8:J37,"Baik")</f>
        <v>0</v>
      </c>
      <c r="H5" s="102"/>
    </row>
    <row r="7" customFormat="false" ht="30" hidden="false" customHeight="true" outlineLevel="0" collapsed="false">
      <c r="A7" s="23" t="s">
        <v>8</v>
      </c>
      <c r="B7" s="23" t="s">
        <v>548</v>
      </c>
      <c r="C7" s="23" t="s">
        <v>34</v>
      </c>
      <c r="D7" s="23" t="s">
        <v>35</v>
      </c>
      <c r="E7" s="23" t="s">
        <v>36</v>
      </c>
      <c r="F7" s="23" t="s">
        <v>37</v>
      </c>
      <c r="G7" s="23" t="s">
        <v>549</v>
      </c>
      <c r="H7" s="23" t="s">
        <v>17</v>
      </c>
      <c r="I7" s="23" t="s">
        <v>550</v>
      </c>
      <c r="J7" s="23" t="s">
        <v>551</v>
      </c>
    </row>
    <row r="8" customFormat="false" ht="18" hidden="false" customHeight="true" outlineLevel="0" collapsed="false">
      <c r="A8" s="64" t="n">
        <v>1</v>
      </c>
      <c r="B8" s="64" t="s">
        <v>349</v>
      </c>
      <c r="C8" s="66" t="s">
        <v>44</v>
      </c>
      <c r="D8" s="66" t="s">
        <v>348</v>
      </c>
      <c r="E8" s="64"/>
      <c r="F8" s="64" t="s">
        <v>46</v>
      </c>
      <c r="G8" s="64"/>
      <c r="H8" s="64" t="s">
        <v>47</v>
      </c>
      <c r="I8" s="64" t="s">
        <v>48</v>
      </c>
      <c r="J8" s="66"/>
    </row>
    <row r="9" customFormat="false" ht="18" hidden="false" customHeight="true" outlineLevel="0" collapsed="false">
      <c r="A9" s="34" t="n">
        <v>2</v>
      </c>
      <c r="B9" s="34" t="s">
        <v>352</v>
      </c>
      <c r="C9" s="36" t="s">
        <v>350</v>
      </c>
      <c r="D9" s="36" t="s">
        <v>351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64" t="n">
        <v>3</v>
      </c>
      <c r="B10" s="64" t="s">
        <v>355</v>
      </c>
      <c r="C10" s="66" t="s">
        <v>353</v>
      </c>
      <c r="D10" s="66" t="s">
        <v>354</v>
      </c>
      <c r="E10" s="64"/>
      <c r="F10" s="64" t="s">
        <v>46</v>
      </c>
      <c r="G10" s="64"/>
      <c r="H10" s="64" t="s">
        <v>47</v>
      </c>
      <c r="I10" s="64" t="s">
        <v>48</v>
      </c>
      <c r="J10" s="66"/>
    </row>
    <row r="11" customFormat="false" ht="18" hidden="false" customHeight="true" outlineLevel="0" collapsed="false">
      <c r="A11" s="34" t="n">
        <v>4</v>
      </c>
      <c r="B11" s="34" t="s">
        <v>358</v>
      </c>
      <c r="C11" s="36" t="s">
        <v>356</v>
      </c>
      <c r="D11" s="36" t="s">
        <v>357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64" t="n">
        <v>5</v>
      </c>
      <c r="B12" s="64" t="s">
        <v>360</v>
      </c>
      <c r="C12" s="66" t="s">
        <v>141</v>
      </c>
      <c r="D12" s="66" t="s">
        <v>359</v>
      </c>
      <c r="E12" s="64"/>
      <c r="F12" s="64" t="s">
        <v>46</v>
      </c>
      <c r="G12" s="64"/>
      <c r="H12" s="64" t="s">
        <v>47</v>
      </c>
      <c r="I12" s="64" t="s">
        <v>48</v>
      </c>
      <c r="J12" s="66"/>
    </row>
    <row r="13" customFormat="false" ht="18" hidden="false" customHeight="true" outlineLevel="0" collapsed="false">
      <c r="A13" s="34" t="n">
        <v>6</v>
      </c>
      <c r="B13" s="34" t="s">
        <v>362</v>
      </c>
      <c r="C13" s="36" t="s">
        <v>66</v>
      </c>
      <c r="D13" s="36" t="s">
        <v>361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64" t="n">
        <v>7</v>
      </c>
      <c r="B14" s="64" t="s">
        <v>363</v>
      </c>
      <c r="C14" s="66" t="s">
        <v>83</v>
      </c>
      <c r="D14" s="66" t="s">
        <v>118</v>
      </c>
      <c r="E14" s="64"/>
      <c r="F14" s="64" t="s">
        <v>46</v>
      </c>
      <c r="G14" s="64"/>
      <c r="H14" s="64" t="s">
        <v>47</v>
      </c>
      <c r="I14" s="64" t="s">
        <v>48</v>
      </c>
      <c r="J14" s="66"/>
    </row>
    <row r="15" customFormat="false" ht="18" hidden="false" customHeight="true" outlineLevel="0" collapsed="false">
      <c r="A15" s="34" t="n">
        <v>8</v>
      </c>
      <c r="B15" s="34" t="s">
        <v>365</v>
      </c>
      <c r="C15" s="36" t="s">
        <v>183</v>
      </c>
      <c r="D15" s="36" t="s">
        <v>364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64" t="n">
        <v>9</v>
      </c>
      <c r="B16" s="64" t="s">
        <v>368</v>
      </c>
      <c r="C16" s="66" t="s">
        <v>366</v>
      </c>
      <c r="D16" s="66" t="s">
        <v>367</v>
      </c>
      <c r="E16" s="64"/>
      <c r="F16" s="64" t="s">
        <v>46</v>
      </c>
      <c r="G16" s="64"/>
      <c r="H16" s="64" t="s">
        <v>47</v>
      </c>
      <c r="I16" s="64" t="s">
        <v>48</v>
      </c>
      <c r="J16" s="66"/>
    </row>
    <row r="17" customFormat="false" ht="18" hidden="false" customHeight="true" outlineLevel="0" collapsed="false">
      <c r="A17" s="34" t="n">
        <v>10</v>
      </c>
      <c r="B17" s="34" t="s">
        <v>369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64" t="n">
        <v>11</v>
      </c>
      <c r="B18" s="64" t="s">
        <v>370</v>
      </c>
      <c r="C18" s="66" t="s">
        <v>74</v>
      </c>
      <c r="D18" s="66" t="s">
        <v>75</v>
      </c>
      <c r="E18" s="64"/>
      <c r="F18" s="64" t="s">
        <v>46</v>
      </c>
      <c r="G18" s="64"/>
      <c r="H18" s="64" t="s">
        <v>47</v>
      </c>
      <c r="I18" s="64" t="s">
        <v>48</v>
      </c>
      <c r="J18" s="66"/>
    </row>
    <row r="19" customFormat="false" ht="18" hidden="false" customHeight="true" outlineLevel="0" collapsed="false">
      <c r="A19" s="34" t="n">
        <v>12</v>
      </c>
      <c r="B19" s="34" t="s">
        <v>371</v>
      </c>
      <c r="C19" s="36" t="s">
        <v>173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64" t="n">
        <v>13</v>
      </c>
      <c r="B20" s="64" t="s">
        <v>373</v>
      </c>
      <c r="C20" s="66" t="s">
        <v>115</v>
      </c>
      <c r="D20" s="66" t="s">
        <v>372</v>
      </c>
      <c r="E20" s="64"/>
      <c r="F20" s="64" t="s">
        <v>46</v>
      </c>
      <c r="G20" s="64"/>
      <c r="H20" s="64" t="s">
        <v>47</v>
      </c>
      <c r="I20" s="64" t="s">
        <v>48</v>
      </c>
      <c r="J20" s="66"/>
    </row>
    <row r="21" customFormat="false" ht="18" hidden="false" customHeight="true" outlineLevel="0" collapsed="false">
      <c r="A21" s="34" t="n">
        <v>14</v>
      </c>
      <c r="B21" s="34" t="s">
        <v>374</v>
      </c>
      <c r="C21" s="36" t="s">
        <v>156</v>
      </c>
      <c r="D21" s="36" t="s">
        <v>69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64" t="n">
        <v>15</v>
      </c>
      <c r="B22" s="64" t="s">
        <v>375</v>
      </c>
      <c r="C22" s="66" t="s">
        <v>108</v>
      </c>
      <c r="D22" s="66" t="s">
        <v>109</v>
      </c>
      <c r="E22" s="64"/>
      <c r="F22" s="64" t="s">
        <v>46</v>
      </c>
      <c r="G22" s="64"/>
      <c r="H22" s="64" t="s">
        <v>47</v>
      </c>
      <c r="I22" s="64" t="s">
        <v>48</v>
      </c>
      <c r="J22" s="66"/>
    </row>
    <row r="23" customFormat="false" ht="18" hidden="false" customHeight="true" outlineLevel="0" collapsed="false">
      <c r="A23" s="34" t="n">
        <v>16</v>
      </c>
      <c r="B23" s="34" t="s">
        <v>376</v>
      </c>
      <c r="C23" s="36" t="s">
        <v>58</v>
      </c>
      <c r="D23" s="36" t="s">
        <v>180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64" t="n">
        <v>17</v>
      </c>
      <c r="B24" s="64" t="s">
        <v>377</v>
      </c>
      <c r="C24" s="66" t="s">
        <v>95</v>
      </c>
      <c r="D24" s="66" t="s">
        <v>84</v>
      </c>
      <c r="E24" s="64"/>
      <c r="F24" s="64" t="s">
        <v>46</v>
      </c>
      <c r="G24" s="64"/>
      <c r="H24" s="64" t="s">
        <v>47</v>
      </c>
      <c r="I24" s="64" t="s">
        <v>48</v>
      </c>
      <c r="J24" s="66"/>
    </row>
    <row r="25" customFormat="false" ht="18" hidden="false" customHeight="true" outlineLevel="0" collapsed="false">
      <c r="A25" s="34" t="n">
        <v>18</v>
      </c>
      <c r="B25" s="34" t="s">
        <v>379</v>
      </c>
      <c r="C25" s="36" t="s">
        <v>378</v>
      </c>
      <c r="D25" s="36" t="s">
        <v>188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64" t="n">
        <v>19</v>
      </c>
      <c r="B26" s="64" t="s">
        <v>381</v>
      </c>
      <c r="C26" s="66" t="s">
        <v>105</v>
      </c>
      <c r="D26" s="66" t="s">
        <v>380</v>
      </c>
      <c r="E26" s="64"/>
      <c r="F26" s="64" t="s">
        <v>46</v>
      </c>
      <c r="G26" s="64"/>
      <c r="H26" s="64" t="s">
        <v>47</v>
      </c>
      <c r="I26" s="64" t="s">
        <v>48</v>
      </c>
      <c r="J26" s="66"/>
    </row>
    <row r="27" customFormat="false" ht="18" hidden="false" customHeight="true" outlineLevel="0" collapsed="false">
      <c r="A27" s="34" t="n">
        <v>20</v>
      </c>
      <c r="B27" s="34" t="s">
        <v>382</v>
      </c>
      <c r="C27" s="36" t="s">
        <v>120</v>
      </c>
      <c r="D27" s="36" t="s">
        <v>106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64" t="n">
        <v>21</v>
      </c>
      <c r="B28" s="64" t="s">
        <v>383</v>
      </c>
      <c r="C28" s="66" t="s">
        <v>103</v>
      </c>
      <c r="D28" s="66" t="s">
        <v>101</v>
      </c>
      <c r="E28" s="64"/>
      <c r="F28" s="64" t="s">
        <v>46</v>
      </c>
      <c r="G28" s="64"/>
      <c r="H28" s="64" t="s">
        <v>47</v>
      </c>
      <c r="I28" s="64" t="s">
        <v>48</v>
      </c>
      <c r="J28" s="66"/>
    </row>
    <row r="29" customFormat="false" ht="18" hidden="false" customHeight="true" outlineLevel="0" collapsed="false">
      <c r="A29" s="34" t="n">
        <v>22</v>
      </c>
      <c r="B29" s="34" t="s">
        <v>386</v>
      </c>
      <c r="C29" s="36" t="s">
        <v>384</v>
      </c>
      <c r="D29" s="36" t="s">
        <v>385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64" t="n">
        <v>23</v>
      </c>
      <c r="B30" s="64" t="s">
        <v>388</v>
      </c>
      <c r="C30" s="66" t="s">
        <v>100</v>
      </c>
      <c r="D30" s="66" t="s">
        <v>387</v>
      </c>
      <c r="E30" s="64"/>
      <c r="F30" s="64" t="s">
        <v>46</v>
      </c>
      <c r="G30" s="64"/>
      <c r="H30" s="64" t="s">
        <v>47</v>
      </c>
      <c r="I30" s="64" t="s">
        <v>48</v>
      </c>
      <c r="J30" s="66"/>
    </row>
    <row r="31" customFormat="false" ht="18" hidden="false" customHeight="true" outlineLevel="0" collapsed="false">
      <c r="A31" s="34" t="n">
        <v>24</v>
      </c>
      <c r="B31" s="34" t="s">
        <v>391</v>
      </c>
      <c r="C31" s="36" t="s">
        <v>389</v>
      </c>
      <c r="D31" s="36" t="s">
        <v>390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64" t="n">
        <v>25</v>
      </c>
      <c r="B32" s="64" t="s">
        <v>393</v>
      </c>
      <c r="C32" s="66" t="s">
        <v>392</v>
      </c>
      <c r="D32" s="66" t="s">
        <v>96</v>
      </c>
      <c r="E32" s="64"/>
      <c r="F32" s="64" t="s">
        <v>46</v>
      </c>
      <c r="G32" s="64"/>
      <c r="H32" s="64" t="s">
        <v>47</v>
      </c>
      <c r="I32" s="64" t="s">
        <v>48</v>
      </c>
      <c r="J32" s="66"/>
    </row>
    <row r="33" customFormat="false" ht="18" hidden="false" customHeight="true" outlineLevel="0" collapsed="false">
      <c r="A33" s="34" t="n">
        <v>26</v>
      </c>
      <c r="B33" s="34" t="s">
        <v>395</v>
      </c>
      <c r="C33" s="36" t="s">
        <v>394</v>
      </c>
      <c r="D33" s="36" t="s">
        <v>51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64" t="n">
        <v>27</v>
      </c>
      <c r="B34" s="64" t="s">
        <v>397</v>
      </c>
      <c r="C34" s="66" t="s">
        <v>396</v>
      </c>
      <c r="D34" s="66" t="s">
        <v>51</v>
      </c>
      <c r="E34" s="64"/>
      <c r="F34" s="64" t="s">
        <v>46</v>
      </c>
      <c r="G34" s="64"/>
      <c r="H34" s="64" t="s">
        <v>47</v>
      </c>
      <c r="I34" s="64" t="s">
        <v>48</v>
      </c>
      <c r="J34" s="66"/>
    </row>
    <row r="35" customFormat="false" ht="18" hidden="false" customHeight="true" outlineLevel="0" collapsed="false">
      <c r="A35" s="34" t="n">
        <v>28</v>
      </c>
      <c r="B35" s="34" t="s">
        <v>399</v>
      </c>
      <c r="C35" s="36" t="s">
        <v>398</v>
      </c>
      <c r="D35" s="36" t="s">
        <v>51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64" t="n">
        <v>29</v>
      </c>
      <c r="B36" s="64" t="s">
        <v>402</v>
      </c>
      <c r="C36" s="66" t="s">
        <v>400</v>
      </c>
      <c r="D36" s="66" t="s">
        <v>401</v>
      </c>
      <c r="E36" s="64"/>
      <c r="F36" s="64" t="s">
        <v>46</v>
      </c>
      <c r="G36" s="64"/>
      <c r="H36" s="64" t="s">
        <v>47</v>
      </c>
      <c r="I36" s="64" t="s">
        <v>48</v>
      </c>
      <c r="J36" s="66"/>
    </row>
    <row r="37" customFormat="false" ht="21.75" hidden="false" customHeight="true" outlineLevel="0" collapsed="false">
      <c r="A37" s="123"/>
      <c r="B37" s="123"/>
      <c r="C37" s="23" t="s">
        <v>552</v>
      </c>
      <c r="D37" s="23"/>
      <c r="E37" s="23" t="n">
        <f aca="false">SUM(E8:E36)</f>
        <v>0</v>
      </c>
      <c r="F37" s="23"/>
      <c r="G37" s="23"/>
      <c r="H37" s="23"/>
      <c r="I37" s="23"/>
      <c r="J37" s="23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6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6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6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24" t="s">
        <v>563</v>
      </c>
      <c r="B1" s="124"/>
      <c r="C1" s="124"/>
      <c r="D1" s="124"/>
      <c r="E1" s="124"/>
      <c r="F1" s="124"/>
      <c r="G1" s="124"/>
      <c r="H1" s="124"/>
      <c r="I1" s="124"/>
      <c r="J1" s="124"/>
    </row>
    <row r="2" customFormat="false" ht="19.5" hidden="false" customHeight="true" outlineLevel="0" collapsed="false">
      <c r="A2" s="94" t="s">
        <v>564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98" t="s">
        <v>544</v>
      </c>
      <c r="B4" s="98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02" t="n">
        <v>32</v>
      </c>
      <c r="B5" s="102"/>
      <c r="C5" s="100" t="n">
        <f aca="false">COUNTIFS('🔧 Kerusakan'!E:E,"Burau",'🔧 Kerusakan'!H:H,"RUSAK")</f>
        <v>0</v>
      </c>
      <c r="D5" s="100"/>
      <c r="E5" s="101" t="n">
        <f aca="false">COUNTIFS('🔧 Kerusakan'!E:E,"Burau",'🔧 Kerusakan'!H:H,"HILANG")</f>
        <v>0</v>
      </c>
      <c r="F5" s="101"/>
      <c r="G5" s="102" t="n">
        <f aca="false">COUNTIF(J8:J40,"Baik")</f>
        <v>0</v>
      </c>
      <c r="H5" s="102"/>
    </row>
    <row r="7" customFormat="false" ht="30" hidden="false" customHeight="true" outlineLevel="0" collapsed="false">
      <c r="A7" s="125" t="s">
        <v>8</v>
      </c>
      <c r="B7" s="125" t="s">
        <v>548</v>
      </c>
      <c r="C7" s="125" t="s">
        <v>34</v>
      </c>
      <c r="D7" s="125" t="s">
        <v>35</v>
      </c>
      <c r="E7" s="125" t="s">
        <v>36</v>
      </c>
      <c r="F7" s="125" t="s">
        <v>37</v>
      </c>
      <c r="G7" s="125" t="s">
        <v>549</v>
      </c>
      <c r="H7" s="125" t="s">
        <v>17</v>
      </c>
      <c r="I7" s="125" t="s">
        <v>550</v>
      </c>
      <c r="J7" s="125" t="s">
        <v>551</v>
      </c>
    </row>
    <row r="8" customFormat="false" ht="18" hidden="false" customHeight="true" outlineLevel="0" collapsed="false">
      <c r="A8" s="70" t="n">
        <v>1</v>
      </c>
      <c r="B8" s="70" t="s">
        <v>405</v>
      </c>
      <c r="C8" s="72" t="s">
        <v>128</v>
      </c>
      <c r="D8" s="72" t="s">
        <v>51</v>
      </c>
      <c r="E8" s="70"/>
      <c r="F8" s="70" t="s">
        <v>46</v>
      </c>
      <c r="G8" s="70"/>
      <c r="H8" s="70" t="s">
        <v>47</v>
      </c>
      <c r="I8" s="70" t="s">
        <v>48</v>
      </c>
      <c r="J8" s="72"/>
    </row>
    <row r="9" customFormat="false" ht="18" hidden="false" customHeight="true" outlineLevel="0" collapsed="false">
      <c r="A9" s="34" t="n">
        <v>2</v>
      </c>
      <c r="B9" s="34" t="s">
        <v>406</v>
      </c>
      <c r="C9" s="36" t="s">
        <v>44</v>
      </c>
      <c r="D9" s="36" t="s">
        <v>133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70" t="n">
        <v>3</v>
      </c>
      <c r="B10" s="70" t="s">
        <v>408</v>
      </c>
      <c r="C10" s="72" t="s">
        <v>407</v>
      </c>
      <c r="D10" s="72" t="s">
        <v>45</v>
      </c>
      <c r="E10" s="70"/>
      <c r="F10" s="70" t="s">
        <v>46</v>
      </c>
      <c r="G10" s="70"/>
      <c r="H10" s="70" t="s">
        <v>47</v>
      </c>
      <c r="I10" s="70" t="s">
        <v>48</v>
      </c>
      <c r="J10" s="72"/>
    </row>
    <row r="11" customFormat="false" ht="18" hidden="false" customHeight="true" outlineLevel="0" collapsed="false">
      <c r="A11" s="34" t="n">
        <v>4</v>
      </c>
      <c r="B11" s="34" t="s">
        <v>410</v>
      </c>
      <c r="C11" s="36" t="s">
        <v>63</v>
      </c>
      <c r="D11" s="36" t="s">
        <v>409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70" t="n">
        <v>5</v>
      </c>
      <c r="B12" s="70" t="s">
        <v>412</v>
      </c>
      <c r="C12" s="72" t="s">
        <v>66</v>
      </c>
      <c r="D12" s="72" t="s">
        <v>411</v>
      </c>
      <c r="E12" s="70"/>
      <c r="F12" s="70" t="s">
        <v>46</v>
      </c>
      <c r="G12" s="70"/>
      <c r="H12" s="70" t="s">
        <v>47</v>
      </c>
      <c r="I12" s="70" t="s">
        <v>48</v>
      </c>
      <c r="J12" s="72"/>
    </row>
    <row r="13" customFormat="false" ht="18" hidden="false" customHeight="true" outlineLevel="0" collapsed="false">
      <c r="A13" s="34" t="n">
        <v>6</v>
      </c>
      <c r="B13" s="34" t="s">
        <v>413</v>
      </c>
      <c r="C13" s="36" t="s">
        <v>148</v>
      </c>
      <c r="D13" s="36" t="s">
        <v>64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70" t="n">
        <v>7</v>
      </c>
      <c r="B14" s="70" t="s">
        <v>415</v>
      </c>
      <c r="C14" s="72" t="s">
        <v>309</v>
      </c>
      <c r="D14" s="72" t="s">
        <v>414</v>
      </c>
      <c r="E14" s="70"/>
      <c r="F14" s="70" t="s">
        <v>46</v>
      </c>
      <c r="G14" s="70"/>
      <c r="H14" s="70" t="s">
        <v>47</v>
      </c>
      <c r="I14" s="70" t="s">
        <v>48</v>
      </c>
      <c r="J14" s="72"/>
    </row>
    <row r="15" customFormat="false" ht="18" hidden="false" customHeight="true" outlineLevel="0" collapsed="false">
      <c r="A15" s="34" t="n">
        <v>8</v>
      </c>
      <c r="B15" s="34" t="s">
        <v>416</v>
      </c>
      <c r="C15" s="36" t="s">
        <v>163</v>
      </c>
      <c r="D15" s="36" t="s">
        <v>101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70" t="n">
        <v>9</v>
      </c>
      <c r="B16" s="70" t="s">
        <v>417</v>
      </c>
      <c r="C16" s="72" t="s">
        <v>135</v>
      </c>
      <c r="D16" s="72" t="s">
        <v>414</v>
      </c>
      <c r="E16" s="70"/>
      <c r="F16" s="70" t="s">
        <v>46</v>
      </c>
      <c r="G16" s="70"/>
      <c r="H16" s="70" t="s">
        <v>47</v>
      </c>
      <c r="I16" s="70" t="s">
        <v>48</v>
      </c>
      <c r="J16" s="72"/>
    </row>
    <row r="17" customFormat="false" ht="18" hidden="false" customHeight="true" outlineLevel="0" collapsed="false">
      <c r="A17" s="34" t="n">
        <v>10</v>
      </c>
      <c r="B17" s="34" t="s">
        <v>418</v>
      </c>
      <c r="C17" s="36" t="s">
        <v>260</v>
      </c>
      <c r="D17" s="36" t="s">
        <v>101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70" t="n">
        <v>11</v>
      </c>
      <c r="B18" s="70" t="s">
        <v>419</v>
      </c>
      <c r="C18" s="72" t="s">
        <v>89</v>
      </c>
      <c r="D18" s="72" t="s">
        <v>90</v>
      </c>
      <c r="E18" s="70"/>
      <c r="F18" s="70" t="s">
        <v>46</v>
      </c>
      <c r="G18" s="70"/>
      <c r="H18" s="70" t="s">
        <v>47</v>
      </c>
      <c r="I18" s="70" t="s">
        <v>48</v>
      </c>
      <c r="J18" s="72"/>
    </row>
    <row r="19" customFormat="false" ht="18" hidden="false" customHeight="true" outlineLevel="0" collapsed="false">
      <c r="A19" s="34" t="n">
        <v>12</v>
      </c>
      <c r="B19" s="34" t="s">
        <v>420</v>
      </c>
      <c r="C19" s="36" t="s">
        <v>141</v>
      </c>
      <c r="D19" s="36" t="s">
        <v>72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70" t="n">
        <v>13</v>
      </c>
      <c r="B20" s="70" t="s">
        <v>422</v>
      </c>
      <c r="C20" s="72" t="s">
        <v>124</v>
      </c>
      <c r="D20" s="72" t="s">
        <v>421</v>
      </c>
      <c r="E20" s="70"/>
      <c r="F20" s="70" t="s">
        <v>46</v>
      </c>
      <c r="G20" s="70"/>
      <c r="H20" s="70" t="s">
        <v>47</v>
      </c>
      <c r="I20" s="70" t="s">
        <v>48</v>
      </c>
      <c r="J20" s="72"/>
    </row>
    <row r="21" customFormat="false" ht="18" hidden="false" customHeight="true" outlineLevel="0" collapsed="false">
      <c r="A21" s="34" t="n">
        <v>14</v>
      </c>
      <c r="B21" s="34" t="s">
        <v>423</v>
      </c>
      <c r="C21" s="36" t="s">
        <v>71</v>
      </c>
      <c r="D21" s="36" t="s">
        <v>75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70" t="n">
        <v>15</v>
      </c>
      <c r="B22" s="70" t="s">
        <v>425</v>
      </c>
      <c r="C22" s="72" t="s">
        <v>366</v>
      </c>
      <c r="D22" s="72" t="s">
        <v>424</v>
      </c>
      <c r="E22" s="70"/>
      <c r="F22" s="70" t="s">
        <v>46</v>
      </c>
      <c r="G22" s="70"/>
      <c r="H22" s="70" t="s">
        <v>47</v>
      </c>
      <c r="I22" s="70" t="s">
        <v>48</v>
      </c>
      <c r="J22" s="72"/>
    </row>
    <row r="23" customFormat="false" ht="18" hidden="false" customHeight="true" outlineLevel="0" collapsed="false">
      <c r="A23" s="34" t="n">
        <v>16</v>
      </c>
      <c r="B23" s="34" t="s">
        <v>426</v>
      </c>
      <c r="C23" s="36" t="s">
        <v>58</v>
      </c>
      <c r="D23" s="36" t="s">
        <v>152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70" t="n">
        <v>17</v>
      </c>
      <c r="B24" s="70" t="s">
        <v>428</v>
      </c>
      <c r="C24" s="72" t="s">
        <v>427</v>
      </c>
      <c r="D24" s="72" t="s">
        <v>69</v>
      </c>
      <c r="E24" s="70"/>
      <c r="F24" s="70" t="s">
        <v>46</v>
      </c>
      <c r="G24" s="70"/>
      <c r="H24" s="70" t="s">
        <v>47</v>
      </c>
      <c r="I24" s="70" t="s">
        <v>48</v>
      </c>
      <c r="J24" s="72"/>
    </row>
    <row r="25" customFormat="false" ht="18" hidden="false" customHeight="true" outlineLevel="0" collapsed="false">
      <c r="A25" s="34" t="n">
        <v>18</v>
      </c>
      <c r="B25" s="34" t="s">
        <v>429</v>
      </c>
      <c r="C25" s="36" t="s">
        <v>98</v>
      </c>
      <c r="D25" s="36" t="s">
        <v>109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70" t="n">
        <v>19</v>
      </c>
      <c r="B26" s="70" t="s">
        <v>430</v>
      </c>
      <c r="C26" s="72" t="s">
        <v>394</v>
      </c>
      <c r="D26" s="72" t="s">
        <v>84</v>
      </c>
      <c r="E26" s="70"/>
      <c r="F26" s="70" t="s">
        <v>46</v>
      </c>
      <c r="G26" s="70"/>
      <c r="H26" s="70" t="s">
        <v>47</v>
      </c>
      <c r="I26" s="70" t="s">
        <v>48</v>
      </c>
      <c r="J26" s="72"/>
    </row>
    <row r="27" customFormat="false" ht="18" hidden="false" customHeight="true" outlineLevel="0" collapsed="false">
      <c r="A27" s="34" t="n">
        <v>20</v>
      </c>
      <c r="B27" s="34" t="s">
        <v>432</v>
      </c>
      <c r="C27" s="36" t="s">
        <v>431</v>
      </c>
      <c r="D27" s="36" t="s">
        <v>188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70" t="n">
        <v>21</v>
      </c>
      <c r="B28" s="70" t="s">
        <v>433</v>
      </c>
      <c r="C28" s="72" t="s">
        <v>173</v>
      </c>
      <c r="D28" s="72" t="s">
        <v>78</v>
      </c>
      <c r="E28" s="70"/>
      <c r="F28" s="70" t="s">
        <v>46</v>
      </c>
      <c r="G28" s="70"/>
      <c r="H28" s="70" t="s">
        <v>47</v>
      </c>
      <c r="I28" s="70" t="s">
        <v>48</v>
      </c>
      <c r="J28" s="72"/>
    </row>
    <row r="29" customFormat="false" ht="18" hidden="false" customHeight="true" outlineLevel="0" collapsed="false">
      <c r="A29" s="34" t="n">
        <v>22</v>
      </c>
      <c r="B29" s="34" t="s">
        <v>434</v>
      </c>
      <c r="C29" s="36" t="s">
        <v>95</v>
      </c>
      <c r="D29" s="36" t="s">
        <v>297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70" t="n">
        <v>23</v>
      </c>
      <c r="B30" s="70" t="s">
        <v>435</v>
      </c>
      <c r="C30" s="72" t="s">
        <v>83</v>
      </c>
      <c r="D30" s="72" t="s">
        <v>84</v>
      </c>
      <c r="E30" s="70"/>
      <c r="F30" s="70" t="s">
        <v>46</v>
      </c>
      <c r="G30" s="70"/>
      <c r="H30" s="70" t="s">
        <v>47</v>
      </c>
      <c r="I30" s="70" t="s">
        <v>48</v>
      </c>
      <c r="J30" s="72"/>
    </row>
    <row r="31" customFormat="false" ht="18" hidden="false" customHeight="true" outlineLevel="0" collapsed="false">
      <c r="A31" s="34" t="n">
        <v>24</v>
      </c>
      <c r="B31" s="34" t="s">
        <v>436</v>
      </c>
      <c r="C31" s="36" t="s">
        <v>183</v>
      </c>
      <c r="D31" s="36" t="s">
        <v>51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70" t="n">
        <v>25</v>
      </c>
      <c r="B32" s="70" t="s">
        <v>438</v>
      </c>
      <c r="C32" s="72" t="s">
        <v>115</v>
      </c>
      <c r="D32" s="72" t="s">
        <v>437</v>
      </c>
      <c r="E32" s="70"/>
      <c r="F32" s="70" t="s">
        <v>46</v>
      </c>
      <c r="G32" s="70"/>
      <c r="H32" s="70" t="s">
        <v>47</v>
      </c>
      <c r="I32" s="70" t="s">
        <v>48</v>
      </c>
      <c r="J32" s="72"/>
    </row>
    <row r="33" customFormat="false" ht="18" hidden="false" customHeight="true" outlineLevel="0" collapsed="false">
      <c r="A33" s="34" t="n">
        <v>26</v>
      </c>
      <c r="B33" s="34" t="s">
        <v>439</v>
      </c>
      <c r="C33" s="36" t="s">
        <v>108</v>
      </c>
      <c r="D33" s="36" t="s">
        <v>109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70" t="n">
        <v>27</v>
      </c>
      <c r="B34" s="70" t="s">
        <v>440</v>
      </c>
      <c r="C34" s="72" t="s">
        <v>111</v>
      </c>
      <c r="D34" s="72" t="s">
        <v>96</v>
      </c>
      <c r="E34" s="70"/>
      <c r="F34" s="70" t="s">
        <v>46</v>
      </c>
      <c r="G34" s="70"/>
      <c r="H34" s="70" t="s">
        <v>47</v>
      </c>
      <c r="I34" s="70" t="s">
        <v>48</v>
      </c>
      <c r="J34" s="72"/>
    </row>
    <row r="35" customFormat="false" ht="18" hidden="false" customHeight="true" outlineLevel="0" collapsed="false">
      <c r="A35" s="34" t="n">
        <v>28</v>
      </c>
      <c r="B35" s="34" t="s">
        <v>441</v>
      </c>
      <c r="C35" s="36" t="s">
        <v>92</v>
      </c>
      <c r="D35" s="36" t="s">
        <v>93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70" t="n">
        <v>29</v>
      </c>
      <c r="B36" s="70" t="s">
        <v>442</v>
      </c>
      <c r="C36" s="72" t="s">
        <v>105</v>
      </c>
      <c r="D36" s="72" t="s">
        <v>109</v>
      </c>
      <c r="E36" s="70"/>
      <c r="F36" s="70" t="s">
        <v>46</v>
      </c>
      <c r="G36" s="70"/>
      <c r="H36" s="70" t="s">
        <v>47</v>
      </c>
      <c r="I36" s="70" t="s">
        <v>48</v>
      </c>
      <c r="J36" s="72"/>
    </row>
    <row r="37" customFormat="false" ht="18" hidden="false" customHeight="true" outlineLevel="0" collapsed="false">
      <c r="A37" s="34" t="n">
        <v>30</v>
      </c>
      <c r="B37" s="34" t="s">
        <v>443</v>
      </c>
      <c r="C37" s="36" t="s">
        <v>103</v>
      </c>
      <c r="D37" s="36" t="s">
        <v>101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18" hidden="false" customHeight="true" outlineLevel="0" collapsed="false">
      <c r="A38" s="70" t="n">
        <v>31</v>
      </c>
      <c r="B38" s="70" t="s">
        <v>444</v>
      </c>
      <c r="C38" s="72" t="s">
        <v>122</v>
      </c>
      <c r="D38" s="72" t="s">
        <v>51</v>
      </c>
      <c r="E38" s="70"/>
      <c r="F38" s="70" t="s">
        <v>46</v>
      </c>
      <c r="G38" s="70"/>
      <c r="H38" s="70" t="s">
        <v>47</v>
      </c>
      <c r="I38" s="70" t="s">
        <v>48</v>
      </c>
      <c r="J38" s="72"/>
    </row>
    <row r="39" customFormat="false" ht="18" hidden="false" customHeight="true" outlineLevel="0" collapsed="false">
      <c r="A39" s="34" t="n">
        <v>32</v>
      </c>
      <c r="B39" s="34" t="s">
        <v>445</v>
      </c>
      <c r="C39" s="36" t="s">
        <v>74</v>
      </c>
      <c r="D39" s="36" t="s">
        <v>75</v>
      </c>
      <c r="E39" s="34"/>
      <c r="F39" s="34" t="s">
        <v>46</v>
      </c>
      <c r="G39" s="34"/>
      <c r="H39" s="34" t="s">
        <v>47</v>
      </c>
      <c r="I39" s="34" t="s">
        <v>48</v>
      </c>
      <c r="J39" s="36"/>
    </row>
    <row r="40" customFormat="false" ht="21.75" hidden="false" customHeight="true" outlineLevel="0" collapsed="false">
      <c r="A40" s="126"/>
      <c r="B40" s="126"/>
      <c r="C40" s="125" t="s">
        <v>552</v>
      </c>
      <c r="D40" s="125"/>
      <c r="E40" s="125" t="n">
        <f aca="false">SUM(E8:E39)</f>
        <v>0</v>
      </c>
      <c r="F40" s="125"/>
      <c r="G40" s="125"/>
      <c r="H40" s="125"/>
      <c r="I40" s="125"/>
      <c r="J40" s="125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9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9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9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27" t="s">
        <v>565</v>
      </c>
      <c r="B1" s="127"/>
      <c r="C1" s="127"/>
      <c r="D1" s="127"/>
      <c r="E1" s="127"/>
      <c r="F1" s="127"/>
      <c r="G1" s="127"/>
      <c r="H1" s="127"/>
      <c r="I1" s="127"/>
      <c r="J1" s="127"/>
    </row>
    <row r="2" customFormat="false" ht="19.5" hidden="false" customHeight="true" outlineLevel="0" collapsed="false">
      <c r="A2" s="94" t="s">
        <v>566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28" t="s">
        <v>544</v>
      </c>
      <c r="B4" s="128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29" t="n">
        <v>30</v>
      </c>
      <c r="B5" s="129"/>
      <c r="C5" s="100" t="n">
        <f aca="false">COUNTIFS('🔧 Kerusakan'!E:E,"Wotu",'🔧 Kerusakan'!H:H,"RUSAK")</f>
        <v>0</v>
      </c>
      <c r="D5" s="100"/>
      <c r="E5" s="101" t="n">
        <f aca="false">COUNTIFS('🔧 Kerusakan'!E:E,"Wotu",'🔧 Kerusakan'!H:H,"HILANG")</f>
        <v>0</v>
      </c>
      <c r="F5" s="101"/>
      <c r="G5" s="102" t="n">
        <f aca="false">COUNTIF(J8:J38,"Baik")</f>
        <v>0</v>
      </c>
      <c r="H5" s="102"/>
    </row>
    <row r="7" customFormat="false" ht="30" hidden="false" customHeight="true" outlineLevel="0" collapsed="false">
      <c r="A7" s="130" t="s">
        <v>8</v>
      </c>
      <c r="B7" s="130" t="s">
        <v>548</v>
      </c>
      <c r="C7" s="130" t="s">
        <v>34</v>
      </c>
      <c r="D7" s="130" t="s">
        <v>35</v>
      </c>
      <c r="E7" s="130" t="s">
        <v>36</v>
      </c>
      <c r="F7" s="130" t="s">
        <v>37</v>
      </c>
      <c r="G7" s="130" t="s">
        <v>549</v>
      </c>
      <c r="H7" s="130" t="s">
        <v>17</v>
      </c>
      <c r="I7" s="130" t="s">
        <v>550</v>
      </c>
      <c r="J7" s="130" t="s">
        <v>551</v>
      </c>
    </row>
    <row r="8" customFormat="false" ht="18" hidden="false" customHeight="true" outlineLevel="0" collapsed="false">
      <c r="A8" s="76" t="n">
        <v>1</v>
      </c>
      <c r="B8" s="76" t="s">
        <v>448</v>
      </c>
      <c r="C8" s="78" t="s">
        <v>44</v>
      </c>
      <c r="D8" s="78" t="s">
        <v>45</v>
      </c>
      <c r="E8" s="76"/>
      <c r="F8" s="76" t="s">
        <v>46</v>
      </c>
      <c r="G8" s="76"/>
      <c r="H8" s="76" t="s">
        <v>47</v>
      </c>
      <c r="I8" s="76" t="s">
        <v>48</v>
      </c>
      <c r="J8" s="78"/>
    </row>
    <row r="9" customFormat="false" ht="18" hidden="false" customHeight="true" outlineLevel="0" collapsed="false">
      <c r="A9" s="34" t="n">
        <v>2</v>
      </c>
      <c r="B9" s="34" t="s">
        <v>449</v>
      </c>
      <c r="C9" s="36" t="s">
        <v>50</v>
      </c>
      <c r="D9" s="36" t="s">
        <v>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76" t="n">
        <v>3</v>
      </c>
      <c r="B10" s="76" t="s">
        <v>450</v>
      </c>
      <c r="C10" s="78" t="s">
        <v>53</v>
      </c>
      <c r="D10" s="78" t="s">
        <v>51</v>
      </c>
      <c r="E10" s="76"/>
      <c r="F10" s="76" t="s">
        <v>46</v>
      </c>
      <c r="G10" s="76"/>
      <c r="H10" s="76" t="s">
        <v>47</v>
      </c>
      <c r="I10" s="76" t="s">
        <v>48</v>
      </c>
      <c r="J10" s="78"/>
    </row>
    <row r="11" customFormat="false" ht="18" hidden="false" customHeight="true" outlineLevel="0" collapsed="false">
      <c r="A11" s="34" t="n">
        <v>4</v>
      </c>
      <c r="B11" s="34" t="s">
        <v>451</v>
      </c>
      <c r="C11" s="36" t="s">
        <v>55</v>
      </c>
      <c r="D11" s="36" t="s">
        <v>56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76" t="n">
        <v>5</v>
      </c>
      <c r="B12" s="76" t="s">
        <v>452</v>
      </c>
      <c r="C12" s="78" t="s">
        <v>58</v>
      </c>
      <c r="D12" s="78" t="s">
        <v>59</v>
      </c>
      <c r="E12" s="76"/>
      <c r="F12" s="76" t="s">
        <v>46</v>
      </c>
      <c r="G12" s="76"/>
      <c r="H12" s="76" t="s">
        <v>47</v>
      </c>
      <c r="I12" s="76" t="s">
        <v>48</v>
      </c>
      <c r="J12" s="78"/>
    </row>
    <row r="13" customFormat="false" ht="18" hidden="false" customHeight="true" outlineLevel="0" collapsed="false">
      <c r="A13" s="34" t="n">
        <v>6</v>
      </c>
      <c r="B13" s="34" t="s">
        <v>453</v>
      </c>
      <c r="C13" s="36" t="s">
        <v>61</v>
      </c>
      <c r="D13" s="36" t="s">
        <v>59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76" t="n">
        <v>7</v>
      </c>
      <c r="B14" s="76" t="s">
        <v>454</v>
      </c>
      <c r="C14" s="78" t="s">
        <v>63</v>
      </c>
      <c r="D14" s="78" t="s">
        <v>64</v>
      </c>
      <c r="E14" s="76"/>
      <c r="F14" s="76" t="s">
        <v>46</v>
      </c>
      <c r="G14" s="76"/>
      <c r="H14" s="76" t="s">
        <v>47</v>
      </c>
      <c r="I14" s="76" t="s">
        <v>48</v>
      </c>
      <c r="J14" s="78"/>
    </row>
    <row r="15" customFormat="false" ht="18" hidden="false" customHeight="true" outlineLevel="0" collapsed="false">
      <c r="A15" s="34" t="n">
        <v>8</v>
      </c>
      <c r="B15" s="34" t="s">
        <v>455</v>
      </c>
      <c r="C15" s="36" t="s">
        <v>66</v>
      </c>
      <c r="D15" s="36" t="s">
        <v>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76" t="n">
        <v>9</v>
      </c>
      <c r="B16" s="76" t="s">
        <v>456</v>
      </c>
      <c r="C16" s="78" t="s">
        <v>68</v>
      </c>
      <c r="D16" s="78" t="s">
        <v>69</v>
      </c>
      <c r="E16" s="76"/>
      <c r="F16" s="76" t="s">
        <v>46</v>
      </c>
      <c r="G16" s="76"/>
      <c r="H16" s="76" t="s">
        <v>47</v>
      </c>
      <c r="I16" s="76" t="s">
        <v>48</v>
      </c>
      <c r="J16" s="78"/>
    </row>
    <row r="17" customFormat="false" ht="18" hidden="false" customHeight="true" outlineLevel="0" collapsed="false">
      <c r="A17" s="34" t="n">
        <v>10</v>
      </c>
      <c r="B17" s="34" t="s">
        <v>457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76" t="n">
        <v>11</v>
      </c>
      <c r="B18" s="76" t="s">
        <v>458</v>
      </c>
      <c r="C18" s="78" t="s">
        <v>74</v>
      </c>
      <c r="D18" s="78" t="s">
        <v>75</v>
      </c>
      <c r="E18" s="76"/>
      <c r="F18" s="76" t="s">
        <v>46</v>
      </c>
      <c r="G18" s="76"/>
      <c r="H18" s="76" t="s">
        <v>47</v>
      </c>
      <c r="I18" s="76" t="s">
        <v>48</v>
      </c>
      <c r="J18" s="78"/>
    </row>
    <row r="19" customFormat="false" ht="18" hidden="false" customHeight="true" outlineLevel="0" collapsed="false">
      <c r="A19" s="34" t="n">
        <v>12</v>
      </c>
      <c r="B19" s="34" t="s">
        <v>459</v>
      </c>
      <c r="C19" s="36" t="s">
        <v>77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76" t="n">
        <v>13</v>
      </c>
      <c r="B20" s="76" t="s">
        <v>460</v>
      </c>
      <c r="C20" s="78" t="s">
        <v>80</v>
      </c>
      <c r="D20" s="78" t="s">
        <v>81</v>
      </c>
      <c r="E20" s="76"/>
      <c r="F20" s="76" t="s">
        <v>46</v>
      </c>
      <c r="G20" s="76"/>
      <c r="H20" s="76" t="s">
        <v>47</v>
      </c>
      <c r="I20" s="76" t="s">
        <v>48</v>
      </c>
      <c r="J20" s="78"/>
    </row>
    <row r="21" customFormat="false" ht="18" hidden="false" customHeight="true" outlineLevel="0" collapsed="false">
      <c r="A21" s="34" t="n">
        <v>14</v>
      </c>
      <c r="B21" s="34" t="s">
        <v>461</v>
      </c>
      <c r="C21" s="36" t="s">
        <v>83</v>
      </c>
      <c r="D21" s="36" t="s">
        <v>84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76" t="n">
        <v>15</v>
      </c>
      <c r="B22" s="76" t="s">
        <v>462</v>
      </c>
      <c r="C22" s="78" t="s">
        <v>86</v>
      </c>
      <c r="D22" s="78" t="s">
        <v>87</v>
      </c>
      <c r="E22" s="76"/>
      <c r="F22" s="76" t="s">
        <v>46</v>
      </c>
      <c r="G22" s="76"/>
      <c r="H22" s="76" t="s">
        <v>47</v>
      </c>
      <c r="I22" s="76" t="s">
        <v>48</v>
      </c>
      <c r="J22" s="78"/>
    </row>
    <row r="23" customFormat="false" ht="18" hidden="false" customHeight="true" outlineLevel="0" collapsed="false">
      <c r="A23" s="34" t="n">
        <v>16</v>
      </c>
      <c r="B23" s="34" t="s">
        <v>463</v>
      </c>
      <c r="C23" s="36" t="s">
        <v>89</v>
      </c>
      <c r="D23" s="36" t="s">
        <v>90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76" t="n">
        <v>17</v>
      </c>
      <c r="B24" s="76" t="s">
        <v>464</v>
      </c>
      <c r="C24" s="78" t="s">
        <v>92</v>
      </c>
      <c r="D24" s="78" t="s">
        <v>93</v>
      </c>
      <c r="E24" s="76"/>
      <c r="F24" s="76" t="s">
        <v>46</v>
      </c>
      <c r="G24" s="76"/>
      <c r="H24" s="76" t="s">
        <v>47</v>
      </c>
      <c r="I24" s="76" t="s">
        <v>48</v>
      </c>
      <c r="J24" s="78"/>
    </row>
    <row r="25" customFormat="false" ht="18" hidden="false" customHeight="true" outlineLevel="0" collapsed="false">
      <c r="A25" s="34" t="n">
        <v>18</v>
      </c>
      <c r="B25" s="34" t="s">
        <v>465</v>
      </c>
      <c r="C25" s="36" t="s">
        <v>95</v>
      </c>
      <c r="D25" s="36" t="s">
        <v>96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76" t="n">
        <v>19</v>
      </c>
      <c r="B26" s="76" t="s">
        <v>466</v>
      </c>
      <c r="C26" s="78" t="s">
        <v>98</v>
      </c>
      <c r="D26" s="78" t="s">
        <v>69</v>
      </c>
      <c r="E26" s="76"/>
      <c r="F26" s="76" t="s">
        <v>46</v>
      </c>
      <c r="G26" s="76"/>
      <c r="H26" s="76" t="s">
        <v>47</v>
      </c>
      <c r="I26" s="76" t="s">
        <v>48</v>
      </c>
      <c r="J26" s="78"/>
    </row>
    <row r="27" customFormat="false" ht="18" hidden="false" customHeight="true" outlineLevel="0" collapsed="false">
      <c r="A27" s="34" t="n">
        <v>20</v>
      </c>
      <c r="B27" s="34" t="s">
        <v>467</v>
      </c>
      <c r="C27" s="36" t="s">
        <v>100</v>
      </c>
      <c r="D27" s="36" t="s">
        <v>101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76" t="n">
        <v>21</v>
      </c>
      <c r="B28" s="76" t="s">
        <v>468</v>
      </c>
      <c r="C28" s="78" t="s">
        <v>103</v>
      </c>
      <c r="D28" s="78" t="s">
        <v>84</v>
      </c>
      <c r="E28" s="76"/>
      <c r="F28" s="76" t="s">
        <v>46</v>
      </c>
      <c r="G28" s="76"/>
      <c r="H28" s="76" t="s">
        <v>47</v>
      </c>
      <c r="I28" s="76" t="s">
        <v>48</v>
      </c>
      <c r="J28" s="78"/>
    </row>
    <row r="29" customFormat="false" ht="18" hidden="false" customHeight="true" outlineLevel="0" collapsed="false">
      <c r="A29" s="34" t="n">
        <v>22</v>
      </c>
      <c r="B29" s="34" t="s">
        <v>469</v>
      </c>
      <c r="C29" s="36" t="s">
        <v>105</v>
      </c>
      <c r="D29" s="36" t="s">
        <v>106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76" t="n">
        <v>23</v>
      </c>
      <c r="B30" s="76" t="s">
        <v>470</v>
      </c>
      <c r="C30" s="78" t="s">
        <v>108</v>
      </c>
      <c r="D30" s="78" t="s">
        <v>109</v>
      </c>
      <c r="E30" s="76"/>
      <c r="F30" s="76" t="s">
        <v>46</v>
      </c>
      <c r="G30" s="76"/>
      <c r="H30" s="76" t="s">
        <v>47</v>
      </c>
      <c r="I30" s="76" t="s">
        <v>48</v>
      </c>
      <c r="J30" s="78"/>
    </row>
    <row r="31" customFormat="false" ht="18" hidden="false" customHeight="true" outlineLevel="0" collapsed="false">
      <c r="A31" s="34" t="n">
        <v>24</v>
      </c>
      <c r="B31" s="34" t="s">
        <v>471</v>
      </c>
      <c r="C31" s="36" t="s">
        <v>111</v>
      </c>
      <c r="D31" s="36" t="s">
        <v>96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76" t="n">
        <v>25</v>
      </c>
      <c r="B32" s="76" t="s">
        <v>472</v>
      </c>
      <c r="C32" s="78" t="s">
        <v>113</v>
      </c>
      <c r="D32" s="78" t="s">
        <v>96</v>
      </c>
      <c r="E32" s="76"/>
      <c r="F32" s="76" t="s">
        <v>46</v>
      </c>
      <c r="G32" s="76"/>
      <c r="H32" s="76" t="s">
        <v>47</v>
      </c>
      <c r="I32" s="76" t="s">
        <v>48</v>
      </c>
      <c r="J32" s="78"/>
    </row>
    <row r="33" customFormat="false" ht="18" hidden="false" customHeight="true" outlineLevel="0" collapsed="false">
      <c r="A33" s="34" t="n">
        <v>26</v>
      </c>
      <c r="B33" s="34" t="s">
        <v>473</v>
      </c>
      <c r="C33" s="36" t="s">
        <v>115</v>
      </c>
      <c r="D33" s="36" t="s">
        <v>96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76" t="n">
        <v>27</v>
      </c>
      <c r="B34" s="76" t="s">
        <v>474</v>
      </c>
      <c r="C34" s="78" t="s">
        <v>117</v>
      </c>
      <c r="D34" s="78" t="s">
        <v>118</v>
      </c>
      <c r="E34" s="76"/>
      <c r="F34" s="76" t="s">
        <v>46</v>
      </c>
      <c r="G34" s="76"/>
      <c r="H34" s="76" t="s">
        <v>47</v>
      </c>
      <c r="I34" s="76" t="s">
        <v>48</v>
      </c>
      <c r="J34" s="78"/>
    </row>
    <row r="35" customFormat="false" ht="18" hidden="false" customHeight="true" outlineLevel="0" collapsed="false">
      <c r="A35" s="34" t="n">
        <v>28</v>
      </c>
      <c r="B35" s="34" t="s">
        <v>475</v>
      </c>
      <c r="C35" s="36" t="s">
        <v>120</v>
      </c>
      <c r="D35" s="36" t="s">
        <v>106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76" t="n">
        <v>29</v>
      </c>
      <c r="B36" s="76" t="s">
        <v>476</v>
      </c>
      <c r="C36" s="78" t="s">
        <v>122</v>
      </c>
      <c r="D36" s="78" t="s">
        <v>51</v>
      </c>
      <c r="E36" s="76"/>
      <c r="F36" s="76" t="s">
        <v>46</v>
      </c>
      <c r="G36" s="76"/>
      <c r="H36" s="76" t="s">
        <v>47</v>
      </c>
      <c r="I36" s="76" t="s">
        <v>48</v>
      </c>
      <c r="J36" s="78"/>
    </row>
    <row r="37" customFormat="false" ht="18" hidden="false" customHeight="true" outlineLevel="0" collapsed="false">
      <c r="A37" s="34" t="n">
        <v>30</v>
      </c>
      <c r="B37" s="34" t="s">
        <v>477</v>
      </c>
      <c r="C37" s="36" t="s">
        <v>124</v>
      </c>
      <c r="D37" s="36" t="s">
        <v>96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21.75" hidden="false" customHeight="true" outlineLevel="0" collapsed="false">
      <c r="A38" s="131"/>
      <c r="B38" s="131"/>
      <c r="C38" s="130" t="s">
        <v>552</v>
      </c>
      <c r="D38" s="130"/>
      <c r="E38" s="130" t="n">
        <f aca="false">SUM(E8:E37)</f>
        <v>0</v>
      </c>
      <c r="F38" s="130"/>
      <c r="G38" s="130"/>
      <c r="H38" s="130"/>
      <c r="I38" s="130"/>
      <c r="J38" s="130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7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7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7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32" t="s">
        <v>567</v>
      </c>
      <c r="B1" s="132"/>
      <c r="C1" s="132"/>
      <c r="D1" s="132"/>
      <c r="E1" s="132"/>
      <c r="F1" s="132"/>
      <c r="G1" s="132"/>
      <c r="H1" s="132"/>
      <c r="I1" s="132"/>
      <c r="J1" s="132"/>
    </row>
    <row r="2" customFormat="false" ht="19.5" hidden="false" customHeight="true" outlineLevel="0" collapsed="false">
      <c r="A2" s="94" t="s">
        <v>568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33" t="s">
        <v>544</v>
      </c>
      <c r="B4" s="133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34" t="n">
        <v>30</v>
      </c>
      <c r="B5" s="134"/>
      <c r="C5" s="100" t="n">
        <f aca="false">COUNTIFS('🔧 Kerusakan'!E:E,"Tomoni Timur",'🔧 Kerusakan'!H:H,"RUSAK")</f>
        <v>0</v>
      </c>
      <c r="D5" s="100"/>
      <c r="E5" s="101" t="n">
        <f aca="false">COUNTIFS('🔧 Kerusakan'!E:E,"Tomoni Timur",'🔧 Kerusakan'!H:H,"HILANG")</f>
        <v>0</v>
      </c>
      <c r="F5" s="101"/>
      <c r="G5" s="102" t="n">
        <f aca="false">COUNTIF(J8:J38,"Baik")</f>
        <v>0</v>
      </c>
      <c r="H5" s="102"/>
    </row>
    <row r="7" customFormat="false" ht="30" hidden="false" customHeight="true" outlineLevel="0" collapsed="false">
      <c r="A7" s="135" t="s">
        <v>8</v>
      </c>
      <c r="B7" s="135" t="s">
        <v>548</v>
      </c>
      <c r="C7" s="135" t="s">
        <v>34</v>
      </c>
      <c r="D7" s="135" t="s">
        <v>35</v>
      </c>
      <c r="E7" s="135" t="s">
        <v>36</v>
      </c>
      <c r="F7" s="135" t="s">
        <v>37</v>
      </c>
      <c r="G7" s="135" t="s">
        <v>549</v>
      </c>
      <c r="H7" s="135" t="s">
        <v>17</v>
      </c>
      <c r="I7" s="135" t="s">
        <v>550</v>
      </c>
      <c r="J7" s="135" t="s">
        <v>551</v>
      </c>
    </row>
    <row r="8" customFormat="false" ht="18" hidden="false" customHeight="true" outlineLevel="0" collapsed="false">
      <c r="A8" s="82" t="n">
        <v>1</v>
      </c>
      <c r="B8" s="82" t="s">
        <v>480</v>
      </c>
      <c r="C8" s="84" t="s">
        <v>44</v>
      </c>
      <c r="D8" s="84" t="s">
        <v>45</v>
      </c>
      <c r="E8" s="82"/>
      <c r="F8" s="82" t="s">
        <v>46</v>
      </c>
      <c r="G8" s="82"/>
      <c r="H8" s="82" t="s">
        <v>47</v>
      </c>
      <c r="I8" s="82" t="s">
        <v>48</v>
      </c>
      <c r="J8" s="84"/>
    </row>
    <row r="9" customFormat="false" ht="18" hidden="false" customHeight="true" outlineLevel="0" collapsed="false">
      <c r="A9" s="34" t="n">
        <v>2</v>
      </c>
      <c r="B9" s="34" t="s">
        <v>481</v>
      </c>
      <c r="C9" s="36" t="s">
        <v>50</v>
      </c>
      <c r="D9" s="36" t="s">
        <v>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82" t="n">
        <v>3</v>
      </c>
      <c r="B10" s="82" t="s">
        <v>482</v>
      </c>
      <c r="C10" s="84" t="s">
        <v>53</v>
      </c>
      <c r="D10" s="84" t="s">
        <v>51</v>
      </c>
      <c r="E10" s="82"/>
      <c r="F10" s="82" t="s">
        <v>46</v>
      </c>
      <c r="G10" s="82"/>
      <c r="H10" s="82" t="s">
        <v>47</v>
      </c>
      <c r="I10" s="82" t="s">
        <v>48</v>
      </c>
      <c r="J10" s="84"/>
    </row>
    <row r="11" customFormat="false" ht="18" hidden="false" customHeight="true" outlineLevel="0" collapsed="false">
      <c r="A11" s="34" t="n">
        <v>4</v>
      </c>
      <c r="B11" s="34" t="s">
        <v>483</v>
      </c>
      <c r="C11" s="36" t="s">
        <v>55</v>
      </c>
      <c r="D11" s="36" t="s">
        <v>56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82" t="n">
        <v>5</v>
      </c>
      <c r="B12" s="82" t="s">
        <v>484</v>
      </c>
      <c r="C12" s="84" t="s">
        <v>58</v>
      </c>
      <c r="D12" s="84" t="s">
        <v>59</v>
      </c>
      <c r="E12" s="82"/>
      <c r="F12" s="82" t="s">
        <v>46</v>
      </c>
      <c r="G12" s="82"/>
      <c r="H12" s="82" t="s">
        <v>47</v>
      </c>
      <c r="I12" s="82" t="s">
        <v>48</v>
      </c>
      <c r="J12" s="84"/>
    </row>
    <row r="13" customFormat="false" ht="18" hidden="false" customHeight="true" outlineLevel="0" collapsed="false">
      <c r="A13" s="34" t="n">
        <v>6</v>
      </c>
      <c r="B13" s="34" t="s">
        <v>485</v>
      </c>
      <c r="C13" s="36" t="s">
        <v>61</v>
      </c>
      <c r="D13" s="36" t="s">
        <v>59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82" t="n">
        <v>7</v>
      </c>
      <c r="B14" s="82" t="s">
        <v>486</v>
      </c>
      <c r="C14" s="84" t="s">
        <v>63</v>
      </c>
      <c r="D14" s="84" t="s">
        <v>64</v>
      </c>
      <c r="E14" s="82"/>
      <c r="F14" s="82" t="s">
        <v>46</v>
      </c>
      <c r="G14" s="82"/>
      <c r="H14" s="82" t="s">
        <v>47</v>
      </c>
      <c r="I14" s="82" t="s">
        <v>48</v>
      </c>
      <c r="J14" s="84"/>
    </row>
    <row r="15" customFormat="false" ht="18" hidden="false" customHeight="true" outlineLevel="0" collapsed="false">
      <c r="A15" s="34" t="n">
        <v>8</v>
      </c>
      <c r="B15" s="34" t="s">
        <v>487</v>
      </c>
      <c r="C15" s="36" t="s">
        <v>66</v>
      </c>
      <c r="D15" s="36" t="s">
        <v>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82" t="n">
        <v>9</v>
      </c>
      <c r="B16" s="82" t="s">
        <v>488</v>
      </c>
      <c r="C16" s="84" t="s">
        <v>68</v>
      </c>
      <c r="D16" s="84" t="s">
        <v>69</v>
      </c>
      <c r="E16" s="82"/>
      <c r="F16" s="82" t="s">
        <v>46</v>
      </c>
      <c r="G16" s="82"/>
      <c r="H16" s="82" t="s">
        <v>47</v>
      </c>
      <c r="I16" s="82" t="s">
        <v>48</v>
      </c>
      <c r="J16" s="84"/>
    </row>
    <row r="17" customFormat="false" ht="18" hidden="false" customHeight="true" outlineLevel="0" collapsed="false">
      <c r="A17" s="34" t="n">
        <v>10</v>
      </c>
      <c r="B17" s="34" t="s">
        <v>489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82" t="n">
        <v>11</v>
      </c>
      <c r="B18" s="82" t="s">
        <v>490</v>
      </c>
      <c r="C18" s="84" t="s">
        <v>74</v>
      </c>
      <c r="D18" s="84" t="s">
        <v>75</v>
      </c>
      <c r="E18" s="82"/>
      <c r="F18" s="82" t="s">
        <v>46</v>
      </c>
      <c r="G18" s="82"/>
      <c r="H18" s="82" t="s">
        <v>47</v>
      </c>
      <c r="I18" s="82" t="s">
        <v>48</v>
      </c>
      <c r="J18" s="84"/>
    </row>
    <row r="19" customFormat="false" ht="18" hidden="false" customHeight="true" outlineLevel="0" collapsed="false">
      <c r="A19" s="34" t="n">
        <v>12</v>
      </c>
      <c r="B19" s="34" t="s">
        <v>491</v>
      </c>
      <c r="C19" s="36" t="s">
        <v>77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82" t="n">
        <v>13</v>
      </c>
      <c r="B20" s="82" t="s">
        <v>492</v>
      </c>
      <c r="C20" s="84" t="s">
        <v>80</v>
      </c>
      <c r="D20" s="84" t="s">
        <v>81</v>
      </c>
      <c r="E20" s="82"/>
      <c r="F20" s="82" t="s">
        <v>46</v>
      </c>
      <c r="G20" s="82"/>
      <c r="H20" s="82" t="s">
        <v>47</v>
      </c>
      <c r="I20" s="82" t="s">
        <v>48</v>
      </c>
      <c r="J20" s="84"/>
    </row>
    <row r="21" customFormat="false" ht="18" hidden="false" customHeight="true" outlineLevel="0" collapsed="false">
      <c r="A21" s="34" t="n">
        <v>14</v>
      </c>
      <c r="B21" s="34" t="s">
        <v>493</v>
      </c>
      <c r="C21" s="36" t="s">
        <v>83</v>
      </c>
      <c r="D21" s="36" t="s">
        <v>84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82" t="n">
        <v>15</v>
      </c>
      <c r="B22" s="82" t="s">
        <v>494</v>
      </c>
      <c r="C22" s="84" t="s">
        <v>86</v>
      </c>
      <c r="D22" s="84" t="s">
        <v>87</v>
      </c>
      <c r="E22" s="82"/>
      <c r="F22" s="82" t="s">
        <v>46</v>
      </c>
      <c r="G22" s="82"/>
      <c r="H22" s="82" t="s">
        <v>47</v>
      </c>
      <c r="I22" s="82" t="s">
        <v>48</v>
      </c>
      <c r="J22" s="84"/>
    </row>
    <row r="23" customFormat="false" ht="18" hidden="false" customHeight="true" outlineLevel="0" collapsed="false">
      <c r="A23" s="34" t="n">
        <v>16</v>
      </c>
      <c r="B23" s="34" t="s">
        <v>495</v>
      </c>
      <c r="C23" s="36" t="s">
        <v>89</v>
      </c>
      <c r="D23" s="36" t="s">
        <v>90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82" t="n">
        <v>17</v>
      </c>
      <c r="B24" s="82" t="s">
        <v>496</v>
      </c>
      <c r="C24" s="84" t="s">
        <v>92</v>
      </c>
      <c r="D24" s="84" t="s">
        <v>93</v>
      </c>
      <c r="E24" s="82"/>
      <c r="F24" s="82" t="s">
        <v>46</v>
      </c>
      <c r="G24" s="82"/>
      <c r="H24" s="82" t="s">
        <v>47</v>
      </c>
      <c r="I24" s="82" t="s">
        <v>48</v>
      </c>
      <c r="J24" s="84"/>
    </row>
    <row r="25" customFormat="false" ht="18" hidden="false" customHeight="true" outlineLevel="0" collapsed="false">
      <c r="A25" s="34" t="n">
        <v>18</v>
      </c>
      <c r="B25" s="34" t="s">
        <v>497</v>
      </c>
      <c r="C25" s="36" t="s">
        <v>95</v>
      </c>
      <c r="D25" s="36" t="s">
        <v>96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82" t="n">
        <v>19</v>
      </c>
      <c r="B26" s="82" t="s">
        <v>498</v>
      </c>
      <c r="C26" s="84" t="s">
        <v>98</v>
      </c>
      <c r="D26" s="84" t="s">
        <v>69</v>
      </c>
      <c r="E26" s="82"/>
      <c r="F26" s="82" t="s">
        <v>46</v>
      </c>
      <c r="G26" s="82"/>
      <c r="H26" s="82" t="s">
        <v>47</v>
      </c>
      <c r="I26" s="82" t="s">
        <v>48</v>
      </c>
      <c r="J26" s="84"/>
    </row>
    <row r="27" customFormat="false" ht="18" hidden="false" customHeight="true" outlineLevel="0" collapsed="false">
      <c r="A27" s="34" t="n">
        <v>20</v>
      </c>
      <c r="B27" s="34" t="s">
        <v>499</v>
      </c>
      <c r="C27" s="36" t="s">
        <v>100</v>
      </c>
      <c r="D27" s="36" t="s">
        <v>101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82" t="n">
        <v>21</v>
      </c>
      <c r="B28" s="82" t="s">
        <v>500</v>
      </c>
      <c r="C28" s="84" t="s">
        <v>103</v>
      </c>
      <c r="D28" s="84" t="s">
        <v>84</v>
      </c>
      <c r="E28" s="82"/>
      <c r="F28" s="82" t="s">
        <v>46</v>
      </c>
      <c r="G28" s="82"/>
      <c r="H28" s="82" t="s">
        <v>47</v>
      </c>
      <c r="I28" s="82" t="s">
        <v>48</v>
      </c>
      <c r="J28" s="84"/>
    </row>
    <row r="29" customFormat="false" ht="18" hidden="false" customHeight="true" outlineLevel="0" collapsed="false">
      <c r="A29" s="34" t="n">
        <v>22</v>
      </c>
      <c r="B29" s="34" t="s">
        <v>501</v>
      </c>
      <c r="C29" s="36" t="s">
        <v>105</v>
      </c>
      <c r="D29" s="36" t="s">
        <v>106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82" t="n">
        <v>23</v>
      </c>
      <c r="B30" s="82" t="s">
        <v>502</v>
      </c>
      <c r="C30" s="84" t="s">
        <v>108</v>
      </c>
      <c r="D30" s="84" t="s">
        <v>109</v>
      </c>
      <c r="E30" s="82"/>
      <c r="F30" s="82" t="s">
        <v>46</v>
      </c>
      <c r="G30" s="82"/>
      <c r="H30" s="82" t="s">
        <v>47</v>
      </c>
      <c r="I30" s="82" t="s">
        <v>48</v>
      </c>
      <c r="J30" s="84"/>
    </row>
    <row r="31" customFormat="false" ht="18" hidden="false" customHeight="true" outlineLevel="0" collapsed="false">
      <c r="A31" s="34" t="n">
        <v>24</v>
      </c>
      <c r="B31" s="34" t="s">
        <v>503</v>
      </c>
      <c r="C31" s="36" t="s">
        <v>111</v>
      </c>
      <c r="D31" s="36" t="s">
        <v>96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82" t="n">
        <v>25</v>
      </c>
      <c r="B32" s="82" t="s">
        <v>504</v>
      </c>
      <c r="C32" s="84" t="s">
        <v>113</v>
      </c>
      <c r="D32" s="84" t="s">
        <v>96</v>
      </c>
      <c r="E32" s="82"/>
      <c r="F32" s="82" t="s">
        <v>46</v>
      </c>
      <c r="G32" s="82"/>
      <c r="H32" s="82" t="s">
        <v>47</v>
      </c>
      <c r="I32" s="82" t="s">
        <v>48</v>
      </c>
      <c r="J32" s="84"/>
    </row>
    <row r="33" customFormat="false" ht="18" hidden="false" customHeight="true" outlineLevel="0" collapsed="false">
      <c r="A33" s="34" t="n">
        <v>26</v>
      </c>
      <c r="B33" s="34" t="s">
        <v>505</v>
      </c>
      <c r="C33" s="36" t="s">
        <v>115</v>
      </c>
      <c r="D33" s="36" t="s">
        <v>96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82" t="n">
        <v>27</v>
      </c>
      <c r="B34" s="82" t="s">
        <v>506</v>
      </c>
      <c r="C34" s="84" t="s">
        <v>117</v>
      </c>
      <c r="D34" s="84" t="s">
        <v>118</v>
      </c>
      <c r="E34" s="82"/>
      <c r="F34" s="82" t="s">
        <v>46</v>
      </c>
      <c r="G34" s="82"/>
      <c r="H34" s="82" t="s">
        <v>47</v>
      </c>
      <c r="I34" s="82" t="s">
        <v>48</v>
      </c>
      <c r="J34" s="84"/>
    </row>
    <row r="35" customFormat="false" ht="18" hidden="false" customHeight="true" outlineLevel="0" collapsed="false">
      <c r="A35" s="34" t="n">
        <v>28</v>
      </c>
      <c r="B35" s="34" t="s">
        <v>507</v>
      </c>
      <c r="C35" s="36" t="s">
        <v>120</v>
      </c>
      <c r="D35" s="36" t="s">
        <v>106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82" t="n">
        <v>29</v>
      </c>
      <c r="B36" s="82" t="s">
        <v>508</v>
      </c>
      <c r="C36" s="84" t="s">
        <v>122</v>
      </c>
      <c r="D36" s="84" t="s">
        <v>51</v>
      </c>
      <c r="E36" s="82"/>
      <c r="F36" s="82" t="s">
        <v>46</v>
      </c>
      <c r="G36" s="82"/>
      <c r="H36" s="82" t="s">
        <v>47</v>
      </c>
      <c r="I36" s="82" t="s">
        <v>48</v>
      </c>
      <c r="J36" s="84"/>
    </row>
    <row r="37" customFormat="false" ht="18" hidden="false" customHeight="true" outlineLevel="0" collapsed="false">
      <c r="A37" s="34" t="n">
        <v>30</v>
      </c>
      <c r="B37" s="34" t="s">
        <v>509</v>
      </c>
      <c r="C37" s="36" t="s">
        <v>124</v>
      </c>
      <c r="D37" s="36" t="s">
        <v>96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21.75" hidden="false" customHeight="true" outlineLevel="0" collapsed="false">
      <c r="A38" s="136"/>
      <c r="B38" s="136"/>
      <c r="C38" s="135" t="s">
        <v>552</v>
      </c>
      <c r="D38" s="135"/>
      <c r="E38" s="135" t="n">
        <f aca="false">SUM(E8:E37)</f>
        <v>0</v>
      </c>
      <c r="F38" s="135"/>
      <c r="G38" s="135"/>
      <c r="H38" s="135"/>
      <c r="I38" s="135"/>
      <c r="J38" s="135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7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7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7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7" topLeftCell="A8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2"/>
    <col collapsed="false" customWidth="true" hidden="false" outlineLevel="0" max="3" min="3" style="0" width="35"/>
    <col collapsed="false" customWidth="true" hidden="false" outlineLevel="0" max="4" min="4" style="0" width="25"/>
    <col collapsed="false" customWidth="true" hidden="false" outlineLevel="0" max="6" min="5" style="0" width="8"/>
    <col collapsed="false" customWidth="true" hidden="false" outlineLevel="0" max="7" min="7" style="0" width="10"/>
    <col collapsed="false" customWidth="true" hidden="false" outlineLevel="0" max="8" min="8" style="0" width="16"/>
    <col collapsed="false" customWidth="true" hidden="false" outlineLevel="0" max="9" min="9" style="0" width="12"/>
    <col collapsed="false" customWidth="true" hidden="false" outlineLevel="0" max="10" min="10" style="0" width="25"/>
  </cols>
  <sheetData>
    <row r="1" customFormat="false" ht="49.5" hidden="false" customHeight="true" outlineLevel="0" collapsed="false">
      <c r="A1" s="137" t="s">
        <v>569</v>
      </c>
      <c r="B1" s="137"/>
      <c r="C1" s="137"/>
      <c r="D1" s="137"/>
      <c r="E1" s="137"/>
      <c r="F1" s="137"/>
      <c r="G1" s="137"/>
      <c r="H1" s="137"/>
      <c r="I1" s="137"/>
      <c r="J1" s="137"/>
    </row>
    <row r="2" customFormat="false" ht="19.5" hidden="false" customHeight="true" outlineLevel="0" collapsed="false">
      <c r="A2" s="94" t="s">
        <v>570</v>
      </c>
      <c r="B2" s="94"/>
      <c r="C2" s="94"/>
      <c r="D2" s="94"/>
      <c r="E2" s="94"/>
      <c r="F2" s="94"/>
      <c r="G2" s="94"/>
      <c r="H2" s="94"/>
      <c r="I2" s="94"/>
      <c r="J2" s="94"/>
    </row>
    <row r="4" customFormat="false" ht="24" hidden="false" customHeight="true" outlineLevel="0" collapsed="false">
      <c r="A4" s="138" t="s">
        <v>544</v>
      </c>
      <c r="B4" s="138"/>
      <c r="C4" s="96" t="s">
        <v>545</v>
      </c>
      <c r="D4" s="96"/>
      <c r="E4" s="97" t="s">
        <v>546</v>
      </c>
      <c r="F4" s="97"/>
      <c r="G4" s="98" t="s">
        <v>547</v>
      </c>
      <c r="H4" s="98"/>
    </row>
    <row r="5" customFormat="false" ht="27.75" hidden="false" customHeight="true" outlineLevel="0" collapsed="false">
      <c r="A5" s="139" t="n">
        <v>30</v>
      </c>
      <c r="B5" s="139"/>
      <c r="C5" s="100" t="n">
        <f aca="false">COUNTIFS('🔧 Kerusakan'!E:E,"Towuti",'🔧 Kerusakan'!H:H,"RUSAK")</f>
        <v>0</v>
      </c>
      <c r="D5" s="100"/>
      <c r="E5" s="101" t="n">
        <f aca="false">COUNTIFS('🔧 Kerusakan'!E:E,"Towuti",'🔧 Kerusakan'!H:H,"HILANG")</f>
        <v>0</v>
      </c>
      <c r="F5" s="101"/>
      <c r="G5" s="102" t="n">
        <f aca="false">COUNTIF(J8:J38,"Baik")</f>
        <v>0</v>
      </c>
      <c r="H5" s="102"/>
    </row>
    <row r="7" customFormat="false" ht="30" hidden="false" customHeight="true" outlineLevel="0" collapsed="false">
      <c r="A7" s="140" t="s">
        <v>8</v>
      </c>
      <c r="B7" s="140" t="s">
        <v>548</v>
      </c>
      <c r="C7" s="140" t="s">
        <v>34</v>
      </c>
      <c r="D7" s="140" t="s">
        <v>35</v>
      </c>
      <c r="E7" s="140" t="s">
        <v>36</v>
      </c>
      <c r="F7" s="140" t="s">
        <v>37</v>
      </c>
      <c r="G7" s="140" t="s">
        <v>549</v>
      </c>
      <c r="H7" s="140" t="s">
        <v>17</v>
      </c>
      <c r="I7" s="140" t="s">
        <v>550</v>
      </c>
      <c r="J7" s="140" t="s">
        <v>551</v>
      </c>
    </row>
    <row r="8" customFormat="false" ht="18" hidden="false" customHeight="true" outlineLevel="0" collapsed="false">
      <c r="A8" s="88" t="n">
        <v>1</v>
      </c>
      <c r="B8" s="88" t="s">
        <v>512</v>
      </c>
      <c r="C8" s="90" t="s">
        <v>44</v>
      </c>
      <c r="D8" s="90" t="s">
        <v>45</v>
      </c>
      <c r="E8" s="88"/>
      <c r="F8" s="88" t="s">
        <v>46</v>
      </c>
      <c r="G8" s="88"/>
      <c r="H8" s="88" t="s">
        <v>47</v>
      </c>
      <c r="I8" s="88" t="s">
        <v>48</v>
      </c>
      <c r="J8" s="90"/>
    </row>
    <row r="9" customFormat="false" ht="18" hidden="false" customHeight="true" outlineLevel="0" collapsed="false">
      <c r="A9" s="34" t="n">
        <v>2</v>
      </c>
      <c r="B9" s="34" t="s">
        <v>513</v>
      </c>
      <c r="C9" s="36" t="s">
        <v>50</v>
      </c>
      <c r="D9" s="36" t="s">
        <v>51</v>
      </c>
      <c r="E9" s="34"/>
      <c r="F9" s="34" t="s">
        <v>46</v>
      </c>
      <c r="G9" s="34"/>
      <c r="H9" s="34" t="s">
        <v>47</v>
      </c>
      <c r="I9" s="34" t="s">
        <v>48</v>
      </c>
      <c r="J9" s="36"/>
    </row>
    <row r="10" customFormat="false" ht="18" hidden="false" customHeight="true" outlineLevel="0" collapsed="false">
      <c r="A10" s="88" t="n">
        <v>3</v>
      </c>
      <c r="B10" s="88" t="s">
        <v>514</v>
      </c>
      <c r="C10" s="90" t="s">
        <v>53</v>
      </c>
      <c r="D10" s="90" t="s">
        <v>51</v>
      </c>
      <c r="E10" s="88"/>
      <c r="F10" s="88" t="s">
        <v>46</v>
      </c>
      <c r="G10" s="88"/>
      <c r="H10" s="88" t="s">
        <v>47</v>
      </c>
      <c r="I10" s="88" t="s">
        <v>48</v>
      </c>
      <c r="J10" s="90"/>
    </row>
    <row r="11" customFormat="false" ht="18" hidden="false" customHeight="true" outlineLevel="0" collapsed="false">
      <c r="A11" s="34" t="n">
        <v>4</v>
      </c>
      <c r="B11" s="34" t="s">
        <v>515</v>
      </c>
      <c r="C11" s="36" t="s">
        <v>55</v>
      </c>
      <c r="D11" s="36" t="s">
        <v>56</v>
      </c>
      <c r="E11" s="34"/>
      <c r="F11" s="34" t="s">
        <v>46</v>
      </c>
      <c r="G11" s="34"/>
      <c r="H11" s="34" t="s">
        <v>47</v>
      </c>
      <c r="I11" s="34" t="s">
        <v>48</v>
      </c>
      <c r="J11" s="36"/>
    </row>
    <row r="12" customFormat="false" ht="18" hidden="false" customHeight="true" outlineLevel="0" collapsed="false">
      <c r="A12" s="88" t="n">
        <v>5</v>
      </c>
      <c r="B12" s="88" t="s">
        <v>516</v>
      </c>
      <c r="C12" s="90" t="s">
        <v>58</v>
      </c>
      <c r="D12" s="90" t="s">
        <v>59</v>
      </c>
      <c r="E12" s="88"/>
      <c r="F12" s="88" t="s">
        <v>46</v>
      </c>
      <c r="G12" s="88"/>
      <c r="H12" s="88" t="s">
        <v>47</v>
      </c>
      <c r="I12" s="88" t="s">
        <v>48</v>
      </c>
      <c r="J12" s="90"/>
    </row>
    <row r="13" customFormat="false" ht="18" hidden="false" customHeight="true" outlineLevel="0" collapsed="false">
      <c r="A13" s="34" t="n">
        <v>6</v>
      </c>
      <c r="B13" s="34" t="s">
        <v>517</v>
      </c>
      <c r="C13" s="36" t="s">
        <v>61</v>
      </c>
      <c r="D13" s="36" t="s">
        <v>59</v>
      </c>
      <c r="E13" s="34"/>
      <c r="F13" s="34" t="s">
        <v>46</v>
      </c>
      <c r="G13" s="34"/>
      <c r="H13" s="34" t="s">
        <v>47</v>
      </c>
      <c r="I13" s="34" t="s">
        <v>48</v>
      </c>
      <c r="J13" s="36"/>
    </row>
    <row r="14" customFormat="false" ht="18" hidden="false" customHeight="true" outlineLevel="0" collapsed="false">
      <c r="A14" s="88" t="n">
        <v>7</v>
      </c>
      <c r="B14" s="88" t="s">
        <v>518</v>
      </c>
      <c r="C14" s="90" t="s">
        <v>63</v>
      </c>
      <c r="D14" s="90" t="s">
        <v>64</v>
      </c>
      <c r="E14" s="88"/>
      <c r="F14" s="88" t="s">
        <v>46</v>
      </c>
      <c r="G14" s="88"/>
      <c r="H14" s="88" t="s">
        <v>47</v>
      </c>
      <c r="I14" s="88" t="s">
        <v>48</v>
      </c>
      <c r="J14" s="90"/>
    </row>
    <row r="15" customFormat="false" ht="18" hidden="false" customHeight="true" outlineLevel="0" collapsed="false">
      <c r="A15" s="34" t="n">
        <v>8</v>
      </c>
      <c r="B15" s="34" t="s">
        <v>519</v>
      </c>
      <c r="C15" s="36" t="s">
        <v>66</v>
      </c>
      <c r="D15" s="36" t="s">
        <v>64</v>
      </c>
      <c r="E15" s="34"/>
      <c r="F15" s="34" t="s">
        <v>46</v>
      </c>
      <c r="G15" s="34"/>
      <c r="H15" s="34" t="s">
        <v>47</v>
      </c>
      <c r="I15" s="34" t="s">
        <v>48</v>
      </c>
      <c r="J15" s="36"/>
    </row>
    <row r="16" customFormat="false" ht="18" hidden="false" customHeight="true" outlineLevel="0" collapsed="false">
      <c r="A16" s="88" t="n">
        <v>9</v>
      </c>
      <c r="B16" s="88" t="s">
        <v>520</v>
      </c>
      <c r="C16" s="90" t="s">
        <v>68</v>
      </c>
      <c r="D16" s="90" t="s">
        <v>69</v>
      </c>
      <c r="E16" s="88"/>
      <c r="F16" s="88" t="s">
        <v>46</v>
      </c>
      <c r="G16" s="88"/>
      <c r="H16" s="88" t="s">
        <v>47</v>
      </c>
      <c r="I16" s="88" t="s">
        <v>48</v>
      </c>
      <c r="J16" s="90"/>
    </row>
    <row r="17" customFormat="false" ht="18" hidden="false" customHeight="true" outlineLevel="0" collapsed="false">
      <c r="A17" s="34" t="n">
        <v>10</v>
      </c>
      <c r="B17" s="34" t="s">
        <v>521</v>
      </c>
      <c r="C17" s="36" t="s">
        <v>71</v>
      </c>
      <c r="D17" s="36" t="s">
        <v>72</v>
      </c>
      <c r="E17" s="34"/>
      <c r="F17" s="34" t="s">
        <v>46</v>
      </c>
      <c r="G17" s="34"/>
      <c r="H17" s="34" t="s">
        <v>47</v>
      </c>
      <c r="I17" s="34" t="s">
        <v>48</v>
      </c>
      <c r="J17" s="36"/>
    </row>
    <row r="18" customFormat="false" ht="18" hidden="false" customHeight="true" outlineLevel="0" collapsed="false">
      <c r="A18" s="88" t="n">
        <v>11</v>
      </c>
      <c r="B18" s="88" t="s">
        <v>522</v>
      </c>
      <c r="C18" s="90" t="s">
        <v>74</v>
      </c>
      <c r="D18" s="90" t="s">
        <v>75</v>
      </c>
      <c r="E18" s="88"/>
      <c r="F18" s="88" t="s">
        <v>46</v>
      </c>
      <c r="G18" s="88"/>
      <c r="H18" s="88" t="s">
        <v>47</v>
      </c>
      <c r="I18" s="88" t="s">
        <v>48</v>
      </c>
      <c r="J18" s="90"/>
    </row>
    <row r="19" customFormat="false" ht="18" hidden="false" customHeight="true" outlineLevel="0" collapsed="false">
      <c r="A19" s="34" t="n">
        <v>12</v>
      </c>
      <c r="B19" s="34" t="s">
        <v>523</v>
      </c>
      <c r="C19" s="36" t="s">
        <v>77</v>
      </c>
      <c r="D19" s="36" t="s">
        <v>78</v>
      </c>
      <c r="E19" s="34"/>
      <c r="F19" s="34" t="s">
        <v>46</v>
      </c>
      <c r="G19" s="34"/>
      <c r="H19" s="34" t="s">
        <v>47</v>
      </c>
      <c r="I19" s="34" t="s">
        <v>48</v>
      </c>
      <c r="J19" s="36"/>
    </row>
    <row r="20" customFormat="false" ht="18" hidden="false" customHeight="true" outlineLevel="0" collapsed="false">
      <c r="A20" s="88" t="n">
        <v>13</v>
      </c>
      <c r="B20" s="88" t="s">
        <v>524</v>
      </c>
      <c r="C20" s="90" t="s">
        <v>80</v>
      </c>
      <c r="D20" s="90" t="s">
        <v>81</v>
      </c>
      <c r="E20" s="88"/>
      <c r="F20" s="88" t="s">
        <v>46</v>
      </c>
      <c r="G20" s="88"/>
      <c r="H20" s="88" t="s">
        <v>47</v>
      </c>
      <c r="I20" s="88" t="s">
        <v>48</v>
      </c>
      <c r="J20" s="90"/>
    </row>
    <row r="21" customFormat="false" ht="18" hidden="false" customHeight="true" outlineLevel="0" collapsed="false">
      <c r="A21" s="34" t="n">
        <v>14</v>
      </c>
      <c r="B21" s="34" t="s">
        <v>525</v>
      </c>
      <c r="C21" s="36" t="s">
        <v>83</v>
      </c>
      <c r="D21" s="36" t="s">
        <v>84</v>
      </c>
      <c r="E21" s="34"/>
      <c r="F21" s="34" t="s">
        <v>46</v>
      </c>
      <c r="G21" s="34"/>
      <c r="H21" s="34" t="s">
        <v>47</v>
      </c>
      <c r="I21" s="34" t="s">
        <v>48</v>
      </c>
      <c r="J21" s="36"/>
    </row>
    <row r="22" customFormat="false" ht="18" hidden="false" customHeight="true" outlineLevel="0" collapsed="false">
      <c r="A22" s="88" t="n">
        <v>15</v>
      </c>
      <c r="B22" s="88" t="s">
        <v>526</v>
      </c>
      <c r="C22" s="90" t="s">
        <v>86</v>
      </c>
      <c r="D22" s="90" t="s">
        <v>87</v>
      </c>
      <c r="E22" s="88"/>
      <c r="F22" s="88" t="s">
        <v>46</v>
      </c>
      <c r="G22" s="88"/>
      <c r="H22" s="88" t="s">
        <v>47</v>
      </c>
      <c r="I22" s="88" t="s">
        <v>48</v>
      </c>
      <c r="J22" s="90"/>
    </row>
    <row r="23" customFormat="false" ht="18" hidden="false" customHeight="true" outlineLevel="0" collapsed="false">
      <c r="A23" s="34" t="n">
        <v>16</v>
      </c>
      <c r="B23" s="34" t="s">
        <v>527</v>
      </c>
      <c r="C23" s="36" t="s">
        <v>89</v>
      </c>
      <c r="D23" s="36" t="s">
        <v>90</v>
      </c>
      <c r="E23" s="34"/>
      <c r="F23" s="34" t="s">
        <v>46</v>
      </c>
      <c r="G23" s="34"/>
      <c r="H23" s="34" t="s">
        <v>47</v>
      </c>
      <c r="I23" s="34" t="s">
        <v>48</v>
      </c>
      <c r="J23" s="36"/>
    </row>
    <row r="24" customFormat="false" ht="18" hidden="false" customHeight="true" outlineLevel="0" collapsed="false">
      <c r="A24" s="88" t="n">
        <v>17</v>
      </c>
      <c r="B24" s="88" t="s">
        <v>528</v>
      </c>
      <c r="C24" s="90" t="s">
        <v>92</v>
      </c>
      <c r="D24" s="90" t="s">
        <v>93</v>
      </c>
      <c r="E24" s="88"/>
      <c r="F24" s="88" t="s">
        <v>46</v>
      </c>
      <c r="G24" s="88"/>
      <c r="H24" s="88" t="s">
        <v>47</v>
      </c>
      <c r="I24" s="88" t="s">
        <v>48</v>
      </c>
      <c r="J24" s="90"/>
    </row>
    <row r="25" customFormat="false" ht="18" hidden="false" customHeight="true" outlineLevel="0" collapsed="false">
      <c r="A25" s="34" t="n">
        <v>18</v>
      </c>
      <c r="B25" s="34" t="s">
        <v>529</v>
      </c>
      <c r="C25" s="36" t="s">
        <v>95</v>
      </c>
      <c r="D25" s="36" t="s">
        <v>96</v>
      </c>
      <c r="E25" s="34"/>
      <c r="F25" s="34" t="s">
        <v>46</v>
      </c>
      <c r="G25" s="34"/>
      <c r="H25" s="34" t="s">
        <v>47</v>
      </c>
      <c r="I25" s="34" t="s">
        <v>48</v>
      </c>
      <c r="J25" s="36"/>
    </row>
    <row r="26" customFormat="false" ht="18" hidden="false" customHeight="true" outlineLevel="0" collapsed="false">
      <c r="A26" s="88" t="n">
        <v>19</v>
      </c>
      <c r="B26" s="88" t="s">
        <v>530</v>
      </c>
      <c r="C26" s="90" t="s">
        <v>98</v>
      </c>
      <c r="D26" s="90" t="s">
        <v>69</v>
      </c>
      <c r="E26" s="88"/>
      <c r="F26" s="88" t="s">
        <v>46</v>
      </c>
      <c r="G26" s="88"/>
      <c r="H26" s="88" t="s">
        <v>47</v>
      </c>
      <c r="I26" s="88" t="s">
        <v>48</v>
      </c>
      <c r="J26" s="90"/>
    </row>
    <row r="27" customFormat="false" ht="18" hidden="false" customHeight="true" outlineLevel="0" collapsed="false">
      <c r="A27" s="34" t="n">
        <v>20</v>
      </c>
      <c r="B27" s="34" t="s">
        <v>531</v>
      </c>
      <c r="C27" s="36" t="s">
        <v>100</v>
      </c>
      <c r="D27" s="36" t="s">
        <v>101</v>
      </c>
      <c r="E27" s="34"/>
      <c r="F27" s="34" t="s">
        <v>46</v>
      </c>
      <c r="G27" s="34"/>
      <c r="H27" s="34" t="s">
        <v>47</v>
      </c>
      <c r="I27" s="34" t="s">
        <v>48</v>
      </c>
      <c r="J27" s="36"/>
    </row>
    <row r="28" customFormat="false" ht="18" hidden="false" customHeight="true" outlineLevel="0" collapsed="false">
      <c r="A28" s="88" t="n">
        <v>21</v>
      </c>
      <c r="B28" s="88" t="s">
        <v>532</v>
      </c>
      <c r="C28" s="90" t="s">
        <v>103</v>
      </c>
      <c r="D28" s="90" t="s">
        <v>84</v>
      </c>
      <c r="E28" s="88"/>
      <c r="F28" s="88" t="s">
        <v>46</v>
      </c>
      <c r="G28" s="88"/>
      <c r="H28" s="88" t="s">
        <v>47</v>
      </c>
      <c r="I28" s="88" t="s">
        <v>48</v>
      </c>
      <c r="J28" s="90"/>
    </row>
    <row r="29" customFormat="false" ht="18" hidden="false" customHeight="true" outlineLevel="0" collapsed="false">
      <c r="A29" s="34" t="n">
        <v>22</v>
      </c>
      <c r="B29" s="34" t="s">
        <v>533</v>
      </c>
      <c r="C29" s="36" t="s">
        <v>105</v>
      </c>
      <c r="D29" s="36" t="s">
        <v>106</v>
      </c>
      <c r="E29" s="34"/>
      <c r="F29" s="34" t="s">
        <v>46</v>
      </c>
      <c r="G29" s="34"/>
      <c r="H29" s="34" t="s">
        <v>47</v>
      </c>
      <c r="I29" s="34" t="s">
        <v>48</v>
      </c>
      <c r="J29" s="36"/>
    </row>
    <row r="30" customFormat="false" ht="18" hidden="false" customHeight="true" outlineLevel="0" collapsed="false">
      <c r="A30" s="88" t="n">
        <v>23</v>
      </c>
      <c r="B30" s="88" t="s">
        <v>534</v>
      </c>
      <c r="C30" s="90" t="s">
        <v>108</v>
      </c>
      <c r="D30" s="90" t="s">
        <v>109</v>
      </c>
      <c r="E30" s="88"/>
      <c r="F30" s="88" t="s">
        <v>46</v>
      </c>
      <c r="G30" s="88"/>
      <c r="H30" s="88" t="s">
        <v>47</v>
      </c>
      <c r="I30" s="88" t="s">
        <v>48</v>
      </c>
      <c r="J30" s="90"/>
    </row>
    <row r="31" customFormat="false" ht="18" hidden="false" customHeight="true" outlineLevel="0" collapsed="false">
      <c r="A31" s="34" t="n">
        <v>24</v>
      </c>
      <c r="B31" s="34" t="s">
        <v>535</v>
      </c>
      <c r="C31" s="36" t="s">
        <v>111</v>
      </c>
      <c r="D31" s="36" t="s">
        <v>96</v>
      </c>
      <c r="E31" s="34"/>
      <c r="F31" s="34" t="s">
        <v>46</v>
      </c>
      <c r="G31" s="34"/>
      <c r="H31" s="34" t="s">
        <v>47</v>
      </c>
      <c r="I31" s="34" t="s">
        <v>48</v>
      </c>
      <c r="J31" s="36"/>
    </row>
    <row r="32" customFormat="false" ht="18" hidden="false" customHeight="true" outlineLevel="0" collapsed="false">
      <c r="A32" s="88" t="n">
        <v>25</v>
      </c>
      <c r="B32" s="88" t="s">
        <v>536</v>
      </c>
      <c r="C32" s="90" t="s">
        <v>113</v>
      </c>
      <c r="D32" s="90" t="s">
        <v>96</v>
      </c>
      <c r="E32" s="88"/>
      <c r="F32" s="88" t="s">
        <v>46</v>
      </c>
      <c r="G32" s="88"/>
      <c r="H32" s="88" t="s">
        <v>47</v>
      </c>
      <c r="I32" s="88" t="s">
        <v>48</v>
      </c>
      <c r="J32" s="90"/>
    </row>
    <row r="33" customFormat="false" ht="18" hidden="false" customHeight="true" outlineLevel="0" collapsed="false">
      <c r="A33" s="34" t="n">
        <v>26</v>
      </c>
      <c r="B33" s="34" t="s">
        <v>537</v>
      </c>
      <c r="C33" s="36" t="s">
        <v>115</v>
      </c>
      <c r="D33" s="36" t="s">
        <v>96</v>
      </c>
      <c r="E33" s="34"/>
      <c r="F33" s="34" t="s">
        <v>46</v>
      </c>
      <c r="G33" s="34"/>
      <c r="H33" s="34" t="s">
        <v>47</v>
      </c>
      <c r="I33" s="34" t="s">
        <v>48</v>
      </c>
      <c r="J33" s="36"/>
    </row>
    <row r="34" customFormat="false" ht="18" hidden="false" customHeight="true" outlineLevel="0" collapsed="false">
      <c r="A34" s="88" t="n">
        <v>27</v>
      </c>
      <c r="B34" s="88" t="s">
        <v>538</v>
      </c>
      <c r="C34" s="90" t="s">
        <v>117</v>
      </c>
      <c r="D34" s="90" t="s">
        <v>118</v>
      </c>
      <c r="E34" s="88"/>
      <c r="F34" s="88" t="s">
        <v>46</v>
      </c>
      <c r="G34" s="88"/>
      <c r="H34" s="88" t="s">
        <v>47</v>
      </c>
      <c r="I34" s="88" t="s">
        <v>48</v>
      </c>
      <c r="J34" s="90"/>
    </row>
    <row r="35" customFormat="false" ht="18" hidden="false" customHeight="true" outlineLevel="0" collapsed="false">
      <c r="A35" s="34" t="n">
        <v>28</v>
      </c>
      <c r="B35" s="34" t="s">
        <v>539</v>
      </c>
      <c r="C35" s="36" t="s">
        <v>120</v>
      </c>
      <c r="D35" s="36" t="s">
        <v>106</v>
      </c>
      <c r="E35" s="34"/>
      <c r="F35" s="34" t="s">
        <v>46</v>
      </c>
      <c r="G35" s="34"/>
      <c r="H35" s="34" t="s">
        <v>47</v>
      </c>
      <c r="I35" s="34" t="s">
        <v>48</v>
      </c>
      <c r="J35" s="36"/>
    </row>
    <row r="36" customFormat="false" ht="18" hidden="false" customHeight="true" outlineLevel="0" collapsed="false">
      <c r="A36" s="88" t="n">
        <v>29</v>
      </c>
      <c r="B36" s="88" t="s">
        <v>540</v>
      </c>
      <c r="C36" s="90" t="s">
        <v>122</v>
      </c>
      <c r="D36" s="90" t="s">
        <v>51</v>
      </c>
      <c r="E36" s="88"/>
      <c r="F36" s="88" t="s">
        <v>46</v>
      </c>
      <c r="G36" s="88"/>
      <c r="H36" s="88" t="s">
        <v>47</v>
      </c>
      <c r="I36" s="88" t="s">
        <v>48</v>
      </c>
      <c r="J36" s="90"/>
    </row>
    <row r="37" customFormat="false" ht="18" hidden="false" customHeight="true" outlineLevel="0" collapsed="false">
      <c r="A37" s="34" t="n">
        <v>30</v>
      </c>
      <c r="B37" s="34" t="s">
        <v>541</v>
      </c>
      <c r="C37" s="36" t="s">
        <v>124</v>
      </c>
      <c r="D37" s="36" t="s">
        <v>96</v>
      </c>
      <c r="E37" s="34"/>
      <c r="F37" s="34" t="s">
        <v>46</v>
      </c>
      <c r="G37" s="34"/>
      <c r="H37" s="34" t="s">
        <v>47</v>
      </c>
      <c r="I37" s="34" t="s">
        <v>48</v>
      </c>
      <c r="J37" s="36"/>
    </row>
    <row r="38" customFormat="false" ht="21.75" hidden="false" customHeight="true" outlineLevel="0" collapsed="false">
      <c r="A38" s="141"/>
      <c r="B38" s="141"/>
      <c r="C38" s="140" t="s">
        <v>552</v>
      </c>
      <c r="D38" s="140"/>
      <c r="E38" s="140" t="n">
        <f aca="false">SUM(E8:E37)</f>
        <v>0</v>
      </c>
      <c r="F38" s="140"/>
      <c r="G38" s="140"/>
      <c r="H38" s="140"/>
      <c r="I38" s="140"/>
      <c r="J38" s="140"/>
    </row>
  </sheetData>
  <mergeCells count="10">
    <mergeCell ref="A1:J1"/>
    <mergeCell ref="A2:J2"/>
    <mergeCell ref="A4:B4"/>
    <mergeCell ref="C4:D4"/>
    <mergeCell ref="E4:F4"/>
    <mergeCell ref="G4:H4"/>
    <mergeCell ref="A5:B5"/>
    <mergeCell ref="C5:D5"/>
    <mergeCell ref="E5:F5"/>
    <mergeCell ref="G5:H5"/>
  </mergeCells>
  <dataValidations count="3">
    <dataValidation allowBlank="true" errorStyle="stop" operator="between" showDropDown="false" showErrorMessage="false" showInputMessage="false" sqref="H8:H37" type="list">
      <formula1>"Baik,Rusak Ringan,Rusak Sedang,Rusak Berat,Hilang"</formula1>
      <formula2>0</formula2>
    </dataValidation>
    <dataValidation allowBlank="true" errorStyle="stop" operator="between" showDropDown="false" showErrorMessage="false" showInputMessage="false" sqref="I8:I37" type="list">
      <formula1>"Aktif,Rusak,Hilang,Dipinjam,Cadangan"</formula1>
      <formula2>0</formula2>
    </dataValidation>
    <dataValidation allowBlank="true" errorStyle="stop" operator="between" showDropDown="false" showErrorMessage="false" showInputMessage="false" sqref="F8:F37" type="list">
      <formula1>"Unit,Buah,Set,Meter,Pasang,Lembar"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3" min="2" style="0" width="18"/>
    <col collapsed="false" customWidth="true" hidden="false" outlineLevel="0" max="4" min="4" style="0" width="10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0"/>
    <col collapsed="false" customWidth="true" hidden="false" outlineLevel="0" max="8" min="8" style="0" width="8"/>
    <col collapsed="false" customWidth="true" hidden="false" outlineLevel="0" max="9" min="9" style="0" width="9"/>
    <col collapsed="false" customWidth="true" hidden="false" outlineLevel="0" max="10" min="10" style="0" width="12"/>
    <col collapsed="false" customWidth="true" hidden="false" outlineLevel="0" max="11" min="11" style="0" width="35"/>
  </cols>
  <sheetData>
    <row r="1" customFormat="false" ht="49.5" hidden="false" customHeight="true" outlineLevel="0" collapsed="false">
      <c r="A1" s="25" t="s">
        <v>571</v>
      </c>
      <c r="B1" s="25"/>
      <c r="C1" s="25"/>
      <c r="D1" s="25"/>
      <c r="E1" s="25"/>
      <c r="F1" s="25"/>
      <c r="G1" s="25"/>
      <c r="H1" s="25"/>
      <c r="I1" s="25"/>
      <c r="J1" s="25"/>
      <c r="K1" s="25"/>
    </row>
    <row r="2" customFormat="false" ht="19.5" hidden="false" customHeight="true" outlineLevel="0" collapsed="false">
      <c r="A2" s="142" t="str">
        <f aca="true">TEXT(TODAY(),"DD MMMM YYYY") &amp; "  |  Total Data: " &amp; COUNTA(A5:A9999) &amp; " entri"</f>
        <v>25 February 2026  |  Total Data: 3 entri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</row>
    <row r="4" customFormat="false" ht="27.75" hidden="false" customHeight="true" outlineLevel="0" collapsed="false">
      <c r="A4" s="27" t="s">
        <v>8</v>
      </c>
      <c r="B4" s="27" t="s">
        <v>572</v>
      </c>
      <c r="C4" s="27" t="s">
        <v>9</v>
      </c>
      <c r="D4" s="27" t="s">
        <v>33</v>
      </c>
      <c r="E4" s="27" t="s">
        <v>34</v>
      </c>
      <c r="F4" s="27" t="s">
        <v>35</v>
      </c>
      <c r="G4" s="27" t="s">
        <v>573</v>
      </c>
      <c r="H4" s="27" t="s">
        <v>36</v>
      </c>
      <c r="I4" s="27" t="s">
        <v>37</v>
      </c>
      <c r="J4" s="27" t="s">
        <v>38</v>
      </c>
      <c r="K4" s="27" t="s">
        <v>574</v>
      </c>
    </row>
    <row r="5" customFormat="false" ht="18" hidden="false" customHeight="true" outlineLevel="0" collapsed="false">
      <c r="A5" s="143" t="n">
        <v>1</v>
      </c>
      <c r="B5" s="143" t="str">
        <f aca="true">TEXT(NOW(),"DD/MM/YYYY HH:MM")</f>
        <v>25/02/2026 00:24</v>
      </c>
      <c r="C5" s="144" t="s">
        <v>25</v>
      </c>
      <c r="D5" s="143" t="s">
        <v>347</v>
      </c>
      <c r="E5" s="144" t="s">
        <v>575</v>
      </c>
      <c r="F5" s="144" t="s">
        <v>56</v>
      </c>
      <c r="G5" s="144"/>
      <c r="H5" s="143" t="n">
        <v>3</v>
      </c>
      <c r="I5" s="143" t="s">
        <v>46</v>
      </c>
      <c r="J5" s="143" t="n">
        <v>2024</v>
      </c>
      <c r="K5" s="144" t="s">
        <v>576</v>
      </c>
    </row>
    <row r="6" customFormat="false" ht="18" hidden="false" customHeight="true" outlineLevel="0" collapsed="false">
      <c r="A6" s="34" t="n">
        <v>2</v>
      </c>
      <c r="B6" s="34" t="str">
        <f aca="true">TEXT(NOW(),"DD/MM/YYYY HH:MM")</f>
        <v>25/02/2026 00:24</v>
      </c>
      <c r="C6" s="36" t="s">
        <v>22</v>
      </c>
      <c r="D6" s="34" t="s">
        <v>194</v>
      </c>
      <c r="E6" s="36" t="s">
        <v>58</v>
      </c>
      <c r="F6" s="36" t="s">
        <v>59</v>
      </c>
      <c r="G6" s="36"/>
      <c r="H6" s="34" t="n">
        <v>5</v>
      </c>
      <c r="I6" s="34" t="s">
        <v>46</v>
      </c>
      <c r="J6" s="34" t="n">
        <v>2024</v>
      </c>
      <c r="K6" s="36" t="s">
        <v>576</v>
      </c>
    </row>
    <row r="7" customFormat="false" ht="18" hidden="false" customHeight="true" outlineLevel="0" collapsed="false">
      <c r="A7" s="143" t="n">
        <v>3</v>
      </c>
      <c r="B7" s="143" t="str">
        <f aca="true">TEXT(NOW(),"DD/MM/YYYY HH:MM")</f>
        <v>25/02/2026 00:24</v>
      </c>
      <c r="C7" s="144" t="s">
        <v>21</v>
      </c>
      <c r="D7" s="143" t="s">
        <v>127</v>
      </c>
      <c r="E7" s="144" t="s">
        <v>577</v>
      </c>
      <c r="F7" s="144" t="s">
        <v>51</v>
      </c>
      <c r="G7" s="144"/>
      <c r="H7" s="143" t="n">
        <v>2</v>
      </c>
      <c r="I7" s="143" t="s">
        <v>578</v>
      </c>
      <c r="J7" s="143" t="n">
        <v>2023</v>
      </c>
      <c r="K7" s="144" t="s">
        <v>576</v>
      </c>
    </row>
  </sheetData>
  <mergeCells count="2">
    <mergeCell ref="A1:K1"/>
    <mergeCell ref="A2:K2"/>
  </mergeCells>
  <dataValidations count="1">
    <dataValidation allowBlank="true" errorStyle="stop" operator="between" showDropDown="false" showErrorMessage="false" showInputMessage="false" sqref="C5:C999" type="list">
      <formula1>"Mako,Kalaena,Angkona,Tomoni,Wasuponda,Baruga,Burau,Wotu,Tomoni Timur,Towuti"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9"/>
    <col collapsed="false" customWidth="true" hidden="false" outlineLevel="0" max="6" min="5" style="0" width="18"/>
    <col collapsed="false" customWidth="true" hidden="false" outlineLevel="0" max="7" min="7" style="0" width="25"/>
    <col collapsed="false" customWidth="true" hidden="false" outlineLevel="0" max="9" min="8" style="0" width="12"/>
    <col collapsed="false" customWidth="true" hidden="false" outlineLevel="0" max="10" min="10" style="0" width="14"/>
    <col collapsed="false" customWidth="true" hidden="false" outlineLevel="0" max="11" min="11" style="0" width="9"/>
    <col collapsed="false" customWidth="true" hidden="false" outlineLevel="0" max="12" min="12" style="0" width="35"/>
    <col collapsed="false" customWidth="true" hidden="false" outlineLevel="0" max="13" min="13" style="0" width="25"/>
  </cols>
  <sheetData>
    <row r="1" customFormat="false" ht="49.5" hidden="false" customHeight="true" outlineLevel="0" collapsed="false">
      <c r="A1" s="122" t="s">
        <v>579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122"/>
      <c r="M1" s="122"/>
    </row>
    <row r="2" customFormat="false" ht="19.5" hidden="false" customHeight="true" outlineLevel="0" collapsed="false">
      <c r="A2" s="142" t="str">
        <f aca="true">TEXT(TODAY(),"DD MMMM YYYY") &amp; "  |  Total Laporan: " &amp; COUNTA(A5:A9999) &amp; " entri"</f>
        <v>25 February 2026  |  Total Laporan: 3 entri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  <c r="M2" s="142"/>
    </row>
    <row r="4" customFormat="false" ht="31.5" hidden="false" customHeight="true" outlineLevel="0" collapsed="false">
      <c r="A4" s="23" t="s">
        <v>8</v>
      </c>
      <c r="B4" s="23" t="s">
        <v>572</v>
      </c>
      <c r="C4" s="23" t="s">
        <v>580</v>
      </c>
      <c r="D4" s="23" t="s">
        <v>581</v>
      </c>
      <c r="E4" s="23" t="s">
        <v>9</v>
      </c>
      <c r="F4" s="23" t="s">
        <v>582</v>
      </c>
      <c r="G4" s="23" t="s">
        <v>34</v>
      </c>
      <c r="H4" s="23" t="s">
        <v>548</v>
      </c>
      <c r="I4" s="23" t="s">
        <v>583</v>
      </c>
      <c r="J4" s="23" t="s">
        <v>584</v>
      </c>
      <c r="K4" s="23" t="s">
        <v>36</v>
      </c>
      <c r="L4" s="23" t="s">
        <v>585</v>
      </c>
      <c r="M4" s="23" t="s">
        <v>586</v>
      </c>
    </row>
    <row r="5" customFormat="false" ht="19.5" hidden="false" customHeight="true" outlineLevel="0" collapsed="false">
      <c r="A5" s="145" t="n">
        <v>1</v>
      </c>
      <c r="B5" s="145" t="str">
        <f aca="true">TEXT(NOW(),"DD/MM/YYYY HH:MM")</f>
        <v>25/02/2026 00:24</v>
      </c>
      <c r="C5" s="145" t="s">
        <v>587</v>
      </c>
      <c r="D5" s="145" t="s">
        <v>588</v>
      </c>
      <c r="E5" s="146" t="s">
        <v>26</v>
      </c>
      <c r="F5" s="146" t="s">
        <v>589</v>
      </c>
      <c r="G5" s="146" t="s">
        <v>44</v>
      </c>
      <c r="H5" s="145" t="s">
        <v>406</v>
      </c>
      <c r="I5" s="147" t="s">
        <v>590</v>
      </c>
      <c r="J5" s="145" t="s">
        <v>591</v>
      </c>
      <c r="K5" s="145" t="n">
        <v>1</v>
      </c>
      <c r="L5" s="146" t="s">
        <v>592</v>
      </c>
      <c r="M5" s="146" t="s">
        <v>593</v>
      </c>
    </row>
    <row r="6" customFormat="false" ht="19.5" hidden="false" customHeight="true" outlineLevel="0" collapsed="false">
      <c r="A6" s="34" t="n">
        <v>2</v>
      </c>
      <c r="B6" s="34" t="str">
        <f aca="true">TEXT(NOW(),"DD/MM/YYYY HH:MM")</f>
        <v>25/02/2026 00:24</v>
      </c>
      <c r="C6" s="34" t="s">
        <v>587</v>
      </c>
      <c r="D6" s="34" t="s">
        <v>594</v>
      </c>
      <c r="E6" s="36" t="s">
        <v>23</v>
      </c>
      <c r="F6" s="36" t="s">
        <v>595</v>
      </c>
      <c r="G6" s="36" t="s">
        <v>575</v>
      </c>
      <c r="H6" s="34" t="s">
        <v>267</v>
      </c>
      <c r="I6" s="148" t="s">
        <v>596</v>
      </c>
      <c r="J6" s="34" t="s">
        <v>20</v>
      </c>
      <c r="K6" s="34" t="n">
        <v>1</v>
      </c>
      <c r="L6" s="36" t="s">
        <v>597</v>
      </c>
      <c r="M6" s="36" t="s">
        <v>598</v>
      </c>
    </row>
    <row r="7" customFormat="false" ht="19.5" hidden="false" customHeight="true" outlineLevel="0" collapsed="false">
      <c r="A7" s="145" t="n">
        <v>3</v>
      </c>
      <c r="B7" s="145" t="str">
        <f aca="true">TEXT(NOW(),"DD/MM/YYYY HH:MM")</f>
        <v>25/02/2026 00:24</v>
      </c>
      <c r="C7" s="145" t="s">
        <v>599</v>
      </c>
      <c r="D7" s="145" t="s">
        <v>600</v>
      </c>
      <c r="E7" s="146" t="s">
        <v>22</v>
      </c>
      <c r="F7" s="146" t="s">
        <v>601</v>
      </c>
      <c r="G7" s="146" t="s">
        <v>577</v>
      </c>
      <c r="H7" s="145" t="s">
        <v>202</v>
      </c>
      <c r="I7" s="147" t="s">
        <v>590</v>
      </c>
      <c r="J7" s="145" t="s">
        <v>602</v>
      </c>
      <c r="K7" s="145" t="n">
        <v>1</v>
      </c>
      <c r="L7" s="146" t="s">
        <v>603</v>
      </c>
      <c r="M7" s="146" t="s">
        <v>604</v>
      </c>
    </row>
  </sheetData>
  <mergeCells count="2">
    <mergeCell ref="A1:M1"/>
    <mergeCell ref="A2:M2"/>
  </mergeCells>
  <dataValidations count="3">
    <dataValidation allowBlank="true" errorStyle="stop" operator="between" showDropDown="false" showErrorMessage="false" showInputMessage="false" sqref="E5:E999" type="list">
      <formula1>"Mako,Kalaena,Angkona,Tomoni,Wasuponda,Baruga,Burau,Wotu,Tomoni Timur,Towuti"</formula1>
      <formula2>0</formula2>
    </dataValidation>
    <dataValidation allowBlank="true" errorStyle="stop" operator="between" showDropDown="false" showErrorMessage="false" showInputMessage="false" sqref="I5:I999" type="list">
      <formula1>"RUSAK,HILANG,DIPINJAM"</formula1>
      <formula2>0</formula2>
    </dataValidation>
    <dataValidation allowBlank="true" errorStyle="stop" operator="between" showDropDown="false" showErrorMessage="false" showInputMessage="false" sqref="J5:J999" type="list">
      <formula1>"Ringan,Sedang,Berat,Rusak Total,-"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6" min="5" style="0" width="22"/>
    <col collapsed="false" customWidth="true" hidden="false" outlineLevel="0" max="8" min="7" style="0" width="20"/>
    <col collapsed="false" customWidth="true" hidden="false" outlineLevel="0" max="9" min="9" style="0" width="25"/>
    <col collapsed="false" customWidth="true" hidden="false" outlineLevel="0" max="10" min="10" style="0" width="8"/>
    <col collapsed="false" customWidth="true" hidden="false" outlineLevel="0" max="11" min="11" style="0" width="22"/>
    <col collapsed="false" customWidth="true" hidden="false" outlineLevel="0" max="12" min="12" style="0" width="30"/>
  </cols>
  <sheetData>
    <row r="1" customFormat="false" ht="49.5" hidden="false" customHeight="true" outlineLevel="0" collapsed="false">
      <c r="A1" s="104" t="s">
        <v>605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</row>
    <row r="2" customFormat="false" ht="19.5" hidden="false" customHeight="true" outlineLevel="0" collapsed="false">
      <c r="A2" s="142" t="str">
        <f aca="true">TEXT(TODAY(),"DD MMMM YYYY") &amp; "  |  Total Pengembalian: " &amp; COUNTA(A5:A9999) &amp; " entri"</f>
        <v>25 February 2026  |  Total Pengembalian: 2 entri</v>
      </c>
      <c r="B2" s="142"/>
      <c r="C2" s="142"/>
      <c r="D2" s="142"/>
      <c r="E2" s="142"/>
      <c r="F2" s="142"/>
      <c r="G2" s="142"/>
      <c r="H2" s="142"/>
      <c r="I2" s="142"/>
      <c r="J2" s="142"/>
      <c r="K2" s="142"/>
      <c r="L2" s="142"/>
    </row>
    <row r="4" customFormat="false" ht="27.75" hidden="false" customHeight="true" outlineLevel="0" collapsed="false">
      <c r="A4" s="107" t="s">
        <v>8</v>
      </c>
      <c r="B4" s="107" t="s">
        <v>572</v>
      </c>
      <c r="C4" s="107" t="s">
        <v>606</v>
      </c>
      <c r="D4" s="107" t="s">
        <v>607</v>
      </c>
      <c r="E4" s="107" t="s">
        <v>608</v>
      </c>
      <c r="F4" s="107" t="s">
        <v>609</v>
      </c>
      <c r="G4" s="107" t="s">
        <v>610</v>
      </c>
      <c r="H4" s="107" t="s">
        <v>611</v>
      </c>
      <c r="I4" s="107" t="s">
        <v>34</v>
      </c>
      <c r="J4" s="107" t="s">
        <v>36</v>
      </c>
      <c r="K4" s="107" t="s">
        <v>612</v>
      </c>
      <c r="L4" s="107" t="s">
        <v>613</v>
      </c>
    </row>
    <row r="5" customFormat="false" ht="18" hidden="false" customHeight="true" outlineLevel="0" collapsed="false">
      <c r="A5" s="40" t="n">
        <v>1</v>
      </c>
      <c r="B5" s="40" t="str">
        <f aca="true">TEXT(NOW(),"DD/MM/YYYY HH:MM")</f>
        <v>25/02/2026 00:24</v>
      </c>
      <c r="C5" s="40" t="s">
        <v>614</v>
      </c>
      <c r="D5" s="40" t="s">
        <v>615</v>
      </c>
      <c r="E5" s="42" t="s">
        <v>616</v>
      </c>
      <c r="F5" s="42" t="s">
        <v>617</v>
      </c>
      <c r="G5" s="42" t="s">
        <v>26</v>
      </c>
      <c r="H5" s="42" t="s">
        <v>25</v>
      </c>
      <c r="I5" s="42" t="s">
        <v>577</v>
      </c>
      <c r="J5" s="40" t="n">
        <v>2</v>
      </c>
      <c r="K5" s="40" t="s">
        <v>618</v>
      </c>
      <c r="L5" s="42" t="s">
        <v>576</v>
      </c>
    </row>
    <row r="6" customFormat="false" ht="18" hidden="false" customHeight="true" outlineLevel="0" collapsed="false">
      <c r="A6" s="34" t="n">
        <v>2</v>
      </c>
      <c r="B6" s="34" t="str">
        <f aca="true">TEXT(NOW(),"DD/MM/YYYY HH:MM")</f>
        <v>25/02/2026 00:24</v>
      </c>
      <c r="C6" s="34" t="s">
        <v>619</v>
      </c>
      <c r="D6" s="34" t="s">
        <v>620</v>
      </c>
      <c r="E6" s="36" t="s">
        <v>621</v>
      </c>
      <c r="F6" s="36" t="s">
        <v>622</v>
      </c>
      <c r="G6" s="36" t="s">
        <v>23</v>
      </c>
      <c r="H6" s="36" t="s">
        <v>21</v>
      </c>
      <c r="I6" s="36" t="s">
        <v>575</v>
      </c>
      <c r="J6" s="34" t="n">
        <v>1</v>
      </c>
      <c r="K6" s="34" t="s">
        <v>623</v>
      </c>
      <c r="L6" s="36" t="s">
        <v>576</v>
      </c>
    </row>
  </sheetData>
  <mergeCells count="2">
    <mergeCell ref="A1:L1"/>
    <mergeCell ref="A2:L2"/>
  </mergeCells>
  <dataValidations count="3">
    <dataValidation allowBlank="true" errorStyle="stop" operator="between" showDropDown="false" showErrorMessage="false" showInputMessage="false" sqref="G5:G999" type="list">
      <formula1>"Mako,Kalaena,Angkona,Tomoni,Wasuponda,Baruga,Burau,Wotu,Tomoni Timur,Towuti"</formula1>
      <formula2>0</formula2>
    </dataValidation>
    <dataValidation allowBlank="true" errorStyle="stop" operator="between" showDropDown="false" showErrorMessage="false" showInputMessage="false" sqref="H5:H999" type="list">
      <formula1>"Mako,Kalaena,Angkona,Tomoni,Wasuponda,Baruga,Burau,Wotu,Tomoni Timur,Towuti"</formula1>
      <formula2>0</formula2>
    </dataValidation>
    <dataValidation allowBlank="true" errorStyle="stop" operator="between" showDropDown="false" showErrorMessage="false" showInputMessage="false" sqref="K5:K999" type="list">
      <formula1>"Baik / Normal,Rusak Ringan,Rusak Sedang,Rusak Berat"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12"/>
    <col collapsed="false" customWidth="true" hidden="false" outlineLevel="0" max="7" min="6" style="0" width="14"/>
    <col collapsed="false" customWidth="true" hidden="false" outlineLevel="0" max="8" min="8" style="0" width="12"/>
    <col collapsed="false" customWidth="true" hidden="false" outlineLevel="0" max="11" min="9" style="0" width="10"/>
    <col collapsed="false" customWidth="true" hidden="false" outlineLevel="0" max="12" min="12" style="0" width="20"/>
  </cols>
  <sheetData>
    <row r="1" customFormat="false" ht="49.5" hidden="false" customHeight="true" outlineLevel="0" collapsed="false">
      <c r="A1" s="117" t="s">
        <v>624</v>
      </c>
      <c r="B1" s="117"/>
      <c r="C1" s="117"/>
      <c r="D1" s="117"/>
      <c r="E1" s="117"/>
      <c r="F1" s="117"/>
      <c r="G1" s="117"/>
      <c r="H1" s="117"/>
      <c r="I1" s="117"/>
      <c r="J1" s="117"/>
      <c r="K1" s="117"/>
      <c r="L1" s="117"/>
    </row>
    <row r="3" customFormat="false" ht="24" hidden="false" customHeight="true" outlineLevel="0" collapsed="false">
      <c r="A3" s="13" t="s">
        <v>625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customFormat="false" ht="31.5" hidden="false" customHeight="true" outlineLevel="0" collapsed="false">
      <c r="A4" s="120" t="s">
        <v>8</v>
      </c>
      <c r="B4" s="120" t="s">
        <v>9</v>
      </c>
      <c r="C4" s="120" t="s">
        <v>626</v>
      </c>
      <c r="D4" s="120" t="s">
        <v>627</v>
      </c>
      <c r="E4" s="120" t="s">
        <v>628</v>
      </c>
      <c r="F4" s="120" t="s">
        <v>629</v>
      </c>
      <c r="G4" s="120" t="s">
        <v>630</v>
      </c>
      <c r="H4" s="120" t="s">
        <v>631</v>
      </c>
      <c r="I4" s="120" t="s">
        <v>632</v>
      </c>
      <c r="J4" s="120" t="s">
        <v>633</v>
      </c>
      <c r="K4" s="120" t="s">
        <v>634</v>
      </c>
      <c r="L4" s="120" t="s">
        <v>635</v>
      </c>
    </row>
    <row r="5" customFormat="false" ht="19.5" hidden="false" customHeight="true" outlineLevel="0" collapsed="false">
      <c r="A5" s="59" t="n">
        <v>1</v>
      </c>
      <c r="B5" s="149" t="s">
        <v>19</v>
      </c>
      <c r="C5" s="58" t="n">
        <f aca="false">COUNTIFS('🔧 Kerusakan'!E:E,B5,'🔧 Kerusakan'!I:I,"RUSAK")</f>
        <v>0</v>
      </c>
      <c r="D5" s="58" t="n">
        <f aca="false">COUNTIFS('🔧 Kerusakan'!E:E,B5,'🔧 Kerusakan'!I:I,"HILANG")</f>
        <v>0</v>
      </c>
      <c r="E5" s="58" t="n">
        <f aca="false">COUNTIFS('🔧 Kerusakan'!E:E,B5,'🔧 Kerusakan'!I:I,"DIPINJAM")</f>
        <v>0</v>
      </c>
      <c r="F5" s="58" t="n">
        <f aca="false">COUNTIF('🔄 Pengembalian'!G:G,B5)</f>
        <v>0</v>
      </c>
      <c r="G5" s="58" t="n">
        <f aca="false">E5-F5</f>
        <v>0</v>
      </c>
      <c r="H5" s="58" t="n">
        <f aca="false">C5+D5+E5</f>
        <v>0</v>
      </c>
      <c r="I5" s="150" t="n">
        <f aca="false">IFERROR(C5/MAX(H5,1),0)</f>
        <v>0</v>
      </c>
      <c r="J5" s="150" t="n">
        <f aca="false">IFERROR(D5/MAX(H5,1),0)</f>
        <v>0</v>
      </c>
      <c r="K5" s="58" t="n">
        <f aca="false">C5*3+D5*5+G5*2</f>
        <v>0</v>
      </c>
      <c r="L5" s="58" t="str">
        <f aca="false">IF(K5=0,"✅ Aman",IF(K5&lt;=5,"⚠️ Monitor",IF(K5&lt;=15,"🔴 Perhatian","🚨 Kritis")))</f>
        <v>✅ Aman</v>
      </c>
    </row>
    <row r="6" customFormat="false" ht="19.5" hidden="false" customHeight="true" outlineLevel="0" collapsed="false">
      <c r="A6" s="35" t="n">
        <v>2</v>
      </c>
      <c r="B6" s="151" t="s">
        <v>21</v>
      </c>
      <c r="C6" s="34" t="n">
        <f aca="false">COUNTIFS('🔧 Kerusakan'!E:E,B6,'🔧 Kerusakan'!I:I,"RUSAK")</f>
        <v>0</v>
      </c>
      <c r="D6" s="34" t="n">
        <f aca="false">COUNTIFS('🔧 Kerusakan'!E:E,B6,'🔧 Kerusakan'!I:I,"HILANG")</f>
        <v>0</v>
      </c>
      <c r="E6" s="34" t="n">
        <f aca="false">COUNTIFS('🔧 Kerusakan'!E:E,B6,'🔧 Kerusakan'!I:I,"DIPINJAM")</f>
        <v>0</v>
      </c>
      <c r="F6" s="34" t="n">
        <f aca="false">COUNTIF('🔄 Pengembalian'!G:G,B6)</f>
        <v>0</v>
      </c>
      <c r="G6" s="34" t="n">
        <f aca="false">E6-F6</f>
        <v>0</v>
      </c>
      <c r="H6" s="34" t="n">
        <f aca="false">C6+D6+E6</f>
        <v>0</v>
      </c>
      <c r="I6" s="152" t="n">
        <f aca="false">IFERROR(C6/MAX(H6,1),0)</f>
        <v>0</v>
      </c>
      <c r="J6" s="152" t="n">
        <f aca="false">IFERROR(D6/MAX(H6,1),0)</f>
        <v>0</v>
      </c>
      <c r="K6" s="34" t="n">
        <f aca="false">C6*3+D6*5+G6*2</f>
        <v>0</v>
      </c>
      <c r="L6" s="34" t="str">
        <f aca="false">IF(K6=0,"✅ Aman",IF(K6&lt;=5,"⚠️ Monitor",IF(K6&lt;=15,"🔴 Perhatian","🚨 Kritis")))</f>
        <v>✅ Aman</v>
      </c>
    </row>
    <row r="7" customFormat="false" ht="19.5" hidden="false" customHeight="true" outlineLevel="0" collapsed="false">
      <c r="A7" s="59" t="n">
        <v>3</v>
      </c>
      <c r="B7" s="149" t="s">
        <v>22</v>
      </c>
      <c r="C7" s="58" t="n">
        <f aca="false">COUNTIFS('🔧 Kerusakan'!E:E,B7,'🔧 Kerusakan'!I:I,"RUSAK")</f>
        <v>1</v>
      </c>
      <c r="D7" s="58" t="n">
        <f aca="false">COUNTIFS('🔧 Kerusakan'!E:E,B7,'🔧 Kerusakan'!I:I,"HILANG")</f>
        <v>0</v>
      </c>
      <c r="E7" s="58" t="n">
        <f aca="false">COUNTIFS('🔧 Kerusakan'!E:E,B7,'🔧 Kerusakan'!I:I,"DIPINJAM")</f>
        <v>0</v>
      </c>
      <c r="F7" s="58" t="n">
        <f aca="false">COUNTIF('🔄 Pengembalian'!G:G,B7)</f>
        <v>0</v>
      </c>
      <c r="G7" s="58" t="n">
        <f aca="false">E7-F7</f>
        <v>0</v>
      </c>
      <c r="H7" s="58" t="n">
        <f aca="false">C7+D7+E7</f>
        <v>1</v>
      </c>
      <c r="I7" s="150" t="n">
        <f aca="false">IFERROR(C7/MAX(H7,1),0)</f>
        <v>1</v>
      </c>
      <c r="J7" s="150" t="n">
        <f aca="false">IFERROR(D7/MAX(H7,1),0)</f>
        <v>0</v>
      </c>
      <c r="K7" s="58" t="n">
        <f aca="false">C7*3+D7*5+G7*2</f>
        <v>3</v>
      </c>
      <c r="L7" s="58" t="str">
        <f aca="false">IF(K7=0,"✅ Aman",IF(K7&lt;=5,"⚠️ Monitor",IF(K7&lt;=15,"🔴 Perhatian","🚨 Kritis")))</f>
        <v>⚠️ Monitor</v>
      </c>
    </row>
    <row r="8" customFormat="false" ht="19.5" hidden="false" customHeight="true" outlineLevel="0" collapsed="false">
      <c r="A8" s="35" t="n">
        <v>4</v>
      </c>
      <c r="B8" s="151" t="s">
        <v>23</v>
      </c>
      <c r="C8" s="34" t="n">
        <f aca="false">COUNTIFS('🔧 Kerusakan'!E:E,B8,'🔧 Kerusakan'!I:I,"RUSAK")</f>
        <v>0</v>
      </c>
      <c r="D8" s="34" t="n">
        <f aca="false">COUNTIFS('🔧 Kerusakan'!E:E,B8,'🔧 Kerusakan'!I:I,"HILANG")</f>
        <v>1</v>
      </c>
      <c r="E8" s="34" t="n">
        <f aca="false">COUNTIFS('🔧 Kerusakan'!E:E,B8,'🔧 Kerusakan'!I:I,"DIPINJAM")</f>
        <v>0</v>
      </c>
      <c r="F8" s="34" t="n">
        <f aca="false">COUNTIF('🔄 Pengembalian'!G:G,B8)</f>
        <v>1</v>
      </c>
      <c r="G8" s="34" t="n">
        <f aca="false">E8-F8</f>
        <v>-1</v>
      </c>
      <c r="H8" s="34" t="n">
        <f aca="false">C8+D8+E8</f>
        <v>1</v>
      </c>
      <c r="I8" s="152" t="n">
        <f aca="false">IFERROR(C8/MAX(H8,1),0)</f>
        <v>0</v>
      </c>
      <c r="J8" s="152" t="n">
        <f aca="false">IFERROR(D8/MAX(H8,1),0)</f>
        <v>1</v>
      </c>
      <c r="K8" s="34" t="n">
        <f aca="false">C8*3+D8*5+G8*2</f>
        <v>3</v>
      </c>
      <c r="L8" s="34" t="str">
        <f aca="false">IF(K8=0,"✅ Aman",IF(K8&lt;=5,"⚠️ Monitor",IF(K8&lt;=15,"🔴 Perhatian","🚨 Kritis")))</f>
        <v>⚠️ Monitor</v>
      </c>
    </row>
    <row r="9" customFormat="false" ht="19.5" hidden="false" customHeight="true" outlineLevel="0" collapsed="false">
      <c r="A9" s="59" t="n">
        <v>5</v>
      </c>
      <c r="B9" s="149" t="s">
        <v>24</v>
      </c>
      <c r="C9" s="58" t="n">
        <f aca="false">COUNTIFS('🔧 Kerusakan'!E:E,B9,'🔧 Kerusakan'!I:I,"RUSAK")</f>
        <v>0</v>
      </c>
      <c r="D9" s="58" t="n">
        <f aca="false">COUNTIFS('🔧 Kerusakan'!E:E,B9,'🔧 Kerusakan'!I:I,"HILANG")</f>
        <v>0</v>
      </c>
      <c r="E9" s="58" t="n">
        <f aca="false">COUNTIFS('🔧 Kerusakan'!E:E,B9,'🔧 Kerusakan'!I:I,"DIPINJAM")</f>
        <v>0</v>
      </c>
      <c r="F9" s="58" t="n">
        <f aca="false">COUNTIF('🔄 Pengembalian'!G:G,B9)</f>
        <v>0</v>
      </c>
      <c r="G9" s="58" t="n">
        <f aca="false">E9-F9</f>
        <v>0</v>
      </c>
      <c r="H9" s="58" t="n">
        <f aca="false">C9+D9+E9</f>
        <v>0</v>
      </c>
      <c r="I9" s="150" t="n">
        <f aca="false">IFERROR(C9/MAX(H9,1),0)</f>
        <v>0</v>
      </c>
      <c r="J9" s="150" t="n">
        <f aca="false">IFERROR(D9/MAX(H9,1),0)</f>
        <v>0</v>
      </c>
      <c r="K9" s="58" t="n">
        <f aca="false">C9*3+D9*5+G9*2</f>
        <v>0</v>
      </c>
      <c r="L9" s="58" t="str">
        <f aca="false">IF(K9=0,"✅ Aman",IF(K9&lt;=5,"⚠️ Monitor",IF(K9&lt;=15,"🔴 Perhatian","🚨 Kritis")))</f>
        <v>✅ Aman</v>
      </c>
    </row>
    <row r="10" customFormat="false" ht="19.5" hidden="false" customHeight="true" outlineLevel="0" collapsed="false">
      <c r="A10" s="35" t="n">
        <v>6</v>
      </c>
      <c r="B10" s="151" t="s">
        <v>25</v>
      </c>
      <c r="C10" s="34" t="n">
        <f aca="false">COUNTIFS('🔧 Kerusakan'!E:E,B10,'🔧 Kerusakan'!I:I,"RUSAK")</f>
        <v>0</v>
      </c>
      <c r="D10" s="34" t="n">
        <f aca="false">COUNTIFS('🔧 Kerusakan'!E:E,B10,'🔧 Kerusakan'!I:I,"HILANG")</f>
        <v>0</v>
      </c>
      <c r="E10" s="34" t="n">
        <f aca="false">COUNTIFS('🔧 Kerusakan'!E:E,B10,'🔧 Kerusakan'!I:I,"DIPINJAM")</f>
        <v>0</v>
      </c>
      <c r="F10" s="34" t="n">
        <f aca="false">COUNTIF('🔄 Pengembalian'!G:G,B10)</f>
        <v>0</v>
      </c>
      <c r="G10" s="34" t="n">
        <f aca="false">E10-F10</f>
        <v>0</v>
      </c>
      <c r="H10" s="34" t="n">
        <f aca="false">C10+D10+E10</f>
        <v>0</v>
      </c>
      <c r="I10" s="152" t="n">
        <f aca="false">IFERROR(C10/MAX(H10,1),0)</f>
        <v>0</v>
      </c>
      <c r="J10" s="152" t="n">
        <f aca="false">IFERROR(D10/MAX(H10,1),0)</f>
        <v>0</v>
      </c>
      <c r="K10" s="34" t="n">
        <f aca="false">C10*3+D10*5+G10*2</f>
        <v>0</v>
      </c>
      <c r="L10" s="34" t="str">
        <f aca="false">IF(K10=0,"✅ Aman",IF(K10&lt;=5,"⚠️ Monitor",IF(K10&lt;=15,"🔴 Perhatian","🚨 Kritis")))</f>
        <v>✅ Aman</v>
      </c>
    </row>
    <row r="11" customFormat="false" ht="19.5" hidden="false" customHeight="true" outlineLevel="0" collapsed="false">
      <c r="A11" s="59" t="n">
        <v>7</v>
      </c>
      <c r="B11" s="149" t="s">
        <v>26</v>
      </c>
      <c r="C11" s="58" t="n">
        <f aca="false">COUNTIFS('🔧 Kerusakan'!E:E,B11,'🔧 Kerusakan'!I:I,"RUSAK")</f>
        <v>1</v>
      </c>
      <c r="D11" s="58" t="n">
        <f aca="false">COUNTIFS('🔧 Kerusakan'!E:E,B11,'🔧 Kerusakan'!I:I,"HILANG")</f>
        <v>0</v>
      </c>
      <c r="E11" s="58" t="n">
        <f aca="false">COUNTIFS('🔧 Kerusakan'!E:E,B11,'🔧 Kerusakan'!I:I,"DIPINJAM")</f>
        <v>0</v>
      </c>
      <c r="F11" s="58" t="n">
        <f aca="false">COUNTIF('🔄 Pengembalian'!G:G,B11)</f>
        <v>1</v>
      </c>
      <c r="G11" s="58" t="n">
        <f aca="false">E11-F11</f>
        <v>-1</v>
      </c>
      <c r="H11" s="58" t="n">
        <f aca="false">C11+D11+E11</f>
        <v>1</v>
      </c>
      <c r="I11" s="150" t="n">
        <f aca="false">IFERROR(C11/MAX(H11,1),0)</f>
        <v>1</v>
      </c>
      <c r="J11" s="150" t="n">
        <f aca="false">IFERROR(D11/MAX(H11,1),0)</f>
        <v>0</v>
      </c>
      <c r="K11" s="58" t="n">
        <f aca="false">C11*3+D11*5+G11*2</f>
        <v>1</v>
      </c>
      <c r="L11" s="58" t="str">
        <f aca="false">IF(K11=0,"✅ Aman",IF(K11&lt;=5,"⚠️ Monitor",IF(K11&lt;=15,"🔴 Perhatian","🚨 Kritis")))</f>
        <v>⚠️ Monitor</v>
      </c>
    </row>
    <row r="12" customFormat="false" ht="19.5" hidden="false" customHeight="true" outlineLevel="0" collapsed="false">
      <c r="A12" s="35" t="n">
        <v>8</v>
      </c>
      <c r="B12" s="151" t="s">
        <v>27</v>
      </c>
      <c r="C12" s="34" t="n">
        <f aca="false">COUNTIFS('🔧 Kerusakan'!E:E,B12,'🔧 Kerusakan'!I:I,"RUSAK")</f>
        <v>0</v>
      </c>
      <c r="D12" s="34" t="n">
        <f aca="false">COUNTIFS('🔧 Kerusakan'!E:E,B12,'🔧 Kerusakan'!I:I,"HILANG")</f>
        <v>0</v>
      </c>
      <c r="E12" s="34" t="n">
        <f aca="false">COUNTIFS('🔧 Kerusakan'!E:E,B12,'🔧 Kerusakan'!I:I,"DIPINJAM")</f>
        <v>0</v>
      </c>
      <c r="F12" s="34" t="n">
        <f aca="false">COUNTIF('🔄 Pengembalian'!G:G,B12)</f>
        <v>0</v>
      </c>
      <c r="G12" s="34" t="n">
        <f aca="false">E12-F12</f>
        <v>0</v>
      </c>
      <c r="H12" s="34" t="n">
        <f aca="false">C12+D12+E12</f>
        <v>0</v>
      </c>
      <c r="I12" s="152" t="n">
        <f aca="false">IFERROR(C12/MAX(H12,1),0)</f>
        <v>0</v>
      </c>
      <c r="J12" s="152" t="n">
        <f aca="false">IFERROR(D12/MAX(H12,1),0)</f>
        <v>0</v>
      </c>
      <c r="K12" s="34" t="n">
        <f aca="false">C12*3+D12*5+G12*2</f>
        <v>0</v>
      </c>
      <c r="L12" s="34" t="str">
        <f aca="false">IF(K12=0,"✅ Aman",IF(K12&lt;=5,"⚠️ Monitor",IF(K12&lt;=15,"🔴 Perhatian","🚨 Kritis")))</f>
        <v>✅ Aman</v>
      </c>
    </row>
    <row r="13" customFormat="false" ht="19.5" hidden="false" customHeight="true" outlineLevel="0" collapsed="false">
      <c r="A13" s="59" t="n">
        <v>9</v>
      </c>
      <c r="B13" s="149" t="s">
        <v>28</v>
      </c>
      <c r="C13" s="58" t="n">
        <f aca="false">COUNTIFS('🔧 Kerusakan'!E:E,B13,'🔧 Kerusakan'!I:I,"RUSAK")</f>
        <v>0</v>
      </c>
      <c r="D13" s="58" t="n">
        <f aca="false">COUNTIFS('🔧 Kerusakan'!E:E,B13,'🔧 Kerusakan'!I:I,"HILANG")</f>
        <v>0</v>
      </c>
      <c r="E13" s="58" t="n">
        <f aca="false">COUNTIFS('🔧 Kerusakan'!E:E,B13,'🔧 Kerusakan'!I:I,"DIPINJAM")</f>
        <v>0</v>
      </c>
      <c r="F13" s="58" t="n">
        <f aca="false">COUNTIF('🔄 Pengembalian'!G:G,B13)</f>
        <v>0</v>
      </c>
      <c r="G13" s="58" t="n">
        <f aca="false">E13-F13</f>
        <v>0</v>
      </c>
      <c r="H13" s="58" t="n">
        <f aca="false">C13+D13+E13</f>
        <v>0</v>
      </c>
      <c r="I13" s="150" t="n">
        <f aca="false">IFERROR(C13/MAX(H13,1),0)</f>
        <v>0</v>
      </c>
      <c r="J13" s="150" t="n">
        <f aca="false">IFERROR(D13/MAX(H13,1),0)</f>
        <v>0</v>
      </c>
      <c r="K13" s="58" t="n">
        <f aca="false">C13*3+D13*5+G13*2</f>
        <v>0</v>
      </c>
      <c r="L13" s="58" t="str">
        <f aca="false">IF(K13=0,"✅ Aman",IF(K13&lt;=5,"⚠️ Monitor",IF(K13&lt;=15,"🔴 Perhatian","🚨 Kritis")))</f>
        <v>✅ Aman</v>
      </c>
    </row>
    <row r="14" customFormat="false" ht="19.5" hidden="false" customHeight="true" outlineLevel="0" collapsed="false">
      <c r="A14" s="35" t="n">
        <v>10</v>
      </c>
      <c r="B14" s="151" t="s">
        <v>29</v>
      </c>
      <c r="C14" s="34" t="n">
        <f aca="false">COUNTIFS('🔧 Kerusakan'!E:E,B14,'🔧 Kerusakan'!I:I,"RUSAK")</f>
        <v>0</v>
      </c>
      <c r="D14" s="34" t="n">
        <f aca="false">COUNTIFS('🔧 Kerusakan'!E:E,B14,'🔧 Kerusakan'!I:I,"HILANG")</f>
        <v>0</v>
      </c>
      <c r="E14" s="34" t="n">
        <f aca="false">COUNTIFS('🔧 Kerusakan'!E:E,B14,'🔧 Kerusakan'!I:I,"DIPINJAM")</f>
        <v>0</v>
      </c>
      <c r="F14" s="34" t="n">
        <f aca="false">COUNTIF('🔄 Pengembalian'!G:G,B14)</f>
        <v>0</v>
      </c>
      <c r="G14" s="34" t="n">
        <f aca="false">E14-F14</f>
        <v>0</v>
      </c>
      <c r="H14" s="34" t="n">
        <f aca="false">C14+D14+E14</f>
        <v>0</v>
      </c>
      <c r="I14" s="152" t="n">
        <f aca="false">IFERROR(C14/MAX(H14,1),0)</f>
        <v>0</v>
      </c>
      <c r="J14" s="152" t="n">
        <f aca="false">IFERROR(D14/MAX(H14,1),0)</f>
        <v>0</v>
      </c>
      <c r="K14" s="34" t="n">
        <f aca="false">C14*3+D14*5+G14*2</f>
        <v>0</v>
      </c>
      <c r="L14" s="34" t="str">
        <f aca="false">IF(K14=0,"✅ Aman",IF(K14&lt;=5,"⚠️ Monitor",IF(K14&lt;=15,"🔴 Perhatian","🚨 Kritis")))</f>
        <v>✅ Aman</v>
      </c>
    </row>
    <row r="15" customFormat="false" ht="21.75" hidden="false" customHeight="true" outlineLevel="0" collapsed="false">
      <c r="A15" s="120"/>
      <c r="B15" s="120" t="s">
        <v>552</v>
      </c>
      <c r="C15" s="120" t="n">
        <f aca="false">SUM(C5:C14)</f>
        <v>2</v>
      </c>
      <c r="D15" s="120" t="n">
        <f aca="false">SUM(D5:D14)</f>
        <v>1</v>
      </c>
      <c r="E15" s="120" t="n">
        <f aca="false">SUM(E5:E14)</f>
        <v>0</v>
      </c>
      <c r="F15" s="120" t="n">
        <f aca="false">SUM(F5:F14)</f>
        <v>2</v>
      </c>
      <c r="G15" s="120" t="n">
        <f aca="false">SUM(G5:G14)</f>
        <v>-2</v>
      </c>
      <c r="H15" s="120" t="n">
        <f aca="false">SUM(H5:H14)</f>
        <v>3</v>
      </c>
      <c r="I15" s="153" t="n">
        <f aca="false">SUM(I5:I14)</f>
        <v>2</v>
      </c>
      <c r="J15" s="153" t="n">
        <f aca="false">SUM(J5:J14)</f>
        <v>1</v>
      </c>
      <c r="K15" s="120" t="n">
        <f aca="false">SUM(K5:K14)</f>
        <v>7</v>
      </c>
      <c r="L15" s="120"/>
    </row>
    <row r="17" customFormat="false" ht="24" hidden="false" customHeight="true" outlineLevel="0" collapsed="false">
      <c r="A17" s="154" t="s">
        <v>636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</row>
    <row r="18" customFormat="false" ht="19.5" hidden="false" customHeight="true" outlineLevel="0" collapsed="false">
      <c r="A18" s="155" t="s">
        <v>637</v>
      </c>
      <c r="B18" s="155"/>
      <c r="C18" s="155"/>
      <c r="D18" s="156" t="s">
        <v>638</v>
      </c>
      <c r="E18" s="156"/>
      <c r="F18" s="156"/>
      <c r="G18" s="156"/>
      <c r="H18" s="156"/>
      <c r="I18" s="156"/>
      <c r="J18" s="156"/>
      <c r="K18" s="156"/>
      <c r="L18" s="156"/>
    </row>
    <row r="19" customFormat="false" ht="19.5" hidden="false" customHeight="true" outlineLevel="0" collapsed="false">
      <c r="A19" s="157" t="s">
        <v>639</v>
      </c>
      <c r="B19" s="157"/>
      <c r="C19" s="157"/>
      <c r="D19" s="158" t="s">
        <v>640</v>
      </c>
      <c r="E19" s="158"/>
      <c r="F19" s="158"/>
      <c r="G19" s="158"/>
      <c r="H19" s="158"/>
      <c r="I19" s="158"/>
      <c r="J19" s="158"/>
      <c r="K19" s="158"/>
      <c r="L19" s="158"/>
    </row>
    <row r="20" customFormat="false" ht="19.5" hidden="false" customHeight="true" outlineLevel="0" collapsed="false">
      <c r="A20" s="159" t="s">
        <v>641</v>
      </c>
      <c r="B20" s="159"/>
      <c r="C20" s="159"/>
      <c r="D20" s="160" t="s">
        <v>642</v>
      </c>
      <c r="E20" s="160"/>
      <c r="F20" s="160"/>
      <c r="G20" s="160"/>
      <c r="H20" s="160"/>
      <c r="I20" s="160"/>
      <c r="J20" s="160"/>
      <c r="K20" s="160"/>
      <c r="L20" s="160"/>
    </row>
    <row r="21" customFormat="false" ht="19.5" hidden="false" customHeight="true" outlineLevel="0" collapsed="false">
      <c r="A21" s="161" t="s">
        <v>643</v>
      </c>
      <c r="B21" s="161"/>
      <c r="C21" s="161"/>
      <c r="D21" s="162" t="s">
        <v>644</v>
      </c>
      <c r="E21" s="162"/>
      <c r="F21" s="162"/>
      <c r="G21" s="162"/>
      <c r="H21" s="162"/>
      <c r="I21" s="162"/>
      <c r="J21" s="162"/>
      <c r="K21" s="162"/>
      <c r="L21" s="162"/>
    </row>
  </sheetData>
  <mergeCells count="11">
    <mergeCell ref="A1:L1"/>
    <mergeCell ref="A3:L3"/>
    <mergeCell ref="A17:L17"/>
    <mergeCell ref="A18:C18"/>
    <mergeCell ref="D18:L18"/>
    <mergeCell ref="A19:C19"/>
    <mergeCell ref="D19:L19"/>
    <mergeCell ref="A20:C20"/>
    <mergeCell ref="D20:L20"/>
    <mergeCell ref="A21:C21"/>
    <mergeCell ref="D21:L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22"/>
  </cols>
  <sheetData>
    <row r="1" customFormat="false" ht="49.5" hidden="false" customHeight="true" outlineLevel="0" collapsed="false">
      <c r="A1" s="13" t="s">
        <v>645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14" t="s">
        <v>646</v>
      </c>
      <c r="B3" s="14" t="s">
        <v>647</v>
      </c>
      <c r="C3" s="14" t="s">
        <v>648</v>
      </c>
      <c r="D3" s="14" t="s">
        <v>649</v>
      </c>
      <c r="E3" s="14" t="s">
        <v>650</v>
      </c>
      <c r="F3" s="14" t="s">
        <v>651</v>
      </c>
    </row>
    <row r="4" customFormat="false" ht="15" hidden="false" customHeight="false" outlineLevel="0" collapsed="false">
      <c r="A4" s="144" t="s">
        <v>19</v>
      </c>
      <c r="B4" s="144" t="s">
        <v>590</v>
      </c>
      <c r="C4" s="144" t="s">
        <v>652</v>
      </c>
      <c r="D4" s="144" t="s">
        <v>47</v>
      </c>
      <c r="E4" s="144" t="s">
        <v>48</v>
      </c>
      <c r="F4" s="144" t="s">
        <v>46</v>
      </c>
    </row>
    <row r="5" customFormat="false" ht="15" hidden="false" customHeight="false" outlineLevel="0" collapsed="false">
      <c r="A5" s="36" t="s">
        <v>21</v>
      </c>
      <c r="B5" s="36" t="s">
        <v>596</v>
      </c>
      <c r="C5" s="36" t="s">
        <v>602</v>
      </c>
      <c r="D5" s="36" t="s">
        <v>623</v>
      </c>
      <c r="E5" s="36" t="s">
        <v>653</v>
      </c>
      <c r="F5" s="36" t="s">
        <v>654</v>
      </c>
    </row>
    <row r="6" customFormat="false" ht="15" hidden="false" customHeight="false" outlineLevel="0" collapsed="false">
      <c r="A6" s="144" t="s">
        <v>22</v>
      </c>
      <c r="B6" s="144" t="s">
        <v>655</v>
      </c>
      <c r="C6" s="144" t="s">
        <v>591</v>
      </c>
      <c r="D6" s="144" t="s">
        <v>656</v>
      </c>
      <c r="E6" s="144" t="s">
        <v>657</v>
      </c>
      <c r="F6" s="144" t="s">
        <v>658</v>
      </c>
    </row>
    <row r="7" customFormat="false" ht="15" hidden="false" customHeight="false" outlineLevel="0" collapsed="false">
      <c r="A7" s="36" t="s">
        <v>23</v>
      </c>
      <c r="C7" s="36" t="s">
        <v>659</v>
      </c>
      <c r="D7" s="36" t="s">
        <v>660</v>
      </c>
      <c r="E7" s="36" t="s">
        <v>13</v>
      </c>
      <c r="F7" s="36" t="s">
        <v>578</v>
      </c>
    </row>
    <row r="8" customFormat="false" ht="15" hidden="false" customHeight="false" outlineLevel="0" collapsed="false">
      <c r="A8" s="144" t="s">
        <v>24</v>
      </c>
      <c r="C8" s="144" t="s">
        <v>20</v>
      </c>
      <c r="D8" s="144" t="s">
        <v>657</v>
      </c>
      <c r="E8" s="144" t="s">
        <v>661</v>
      </c>
      <c r="F8" s="144" t="s">
        <v>662</v>
      </c>
    </row>
    <row r="9" customFormat="false" ht="15" hidden="false" customHeight="false" outlineLevel="0" collapsed="false">
      <c r="A9" s="36" t="s">
        <v>25</v>
      </c>
      <c r="E9" s="36" t="s">
        <v>663</v>
      </c>
      <c r="F9" s="36" t="s">
        <v>664</v>
      </c>
    </row>
    <row r="10" customFormat="false" ht="15" hidden="false" customHeight="false" outlineLevel="0" collapsed="false">
      <c r="A10" s="144" t="s">
        <v>26</v>
      </c>
      <c r="F10" s="144" t="s">
        <v>665</v>
      </c>
    </row>
    <row r="11" customFormat="false" ht="15" hidden="false" customHeight="false" outlineLevel="0" collapsed="false">
      <c r="A11" s="36" t="s">
        <v>27</v>
      </c>
      <c r="F11" s="36" t="s">
        <v>666</v>
      </c>
    </row>
    <row r="12" customFormat="false" ht="15" hidden="false" customHeight="false" outlineLevel="0" collapsed="false">
      <c r="A12" s="144" t="s">
        <v>28</v>
      </c>
    </row>
    <row r="13" customFormat="false" ht="15" hidden="false" customHeight="false" outlineLevel="0" collapsed="false">
      <c r="A13" s="36" t="s">
        <v>29</v>
      </c>
    </row>
    <row r="18" customFormat="false" ht="21.75" hidden="false" customHeight="true" outlineLevel="0" collapsed="false">
      <c r="A18" s="163" t="s">
        <v>667</v>
      </c>
      <c r="B18" s="163"/>
      <c r="C18" s="163"/>
      <c r="D18" s="163"/>
      <c r="E18" s="163"/>
      <c r="F18" s="163"/>
    </row>
    <row r="19" customFormat="false" ht="21.75" hidden="false" customHeight="true" outlineLevel="0" collapsed="false">
      <c r="A19" s="27" t="s">
        <v>8</v>
      </c>
      <c r="B19" s="27" t="s">
        <v>35</v>
      </c>
      <c r="C19" s="27" t="s">
        <v>668</v>
      </c>
    </row>
    <row r="20" customFormat="false" ht="15.75" hidden="false" customHeight="true" outlineLevel="0" collapsed="false">
      <c r="A20" s="143" t="n">
        <v>1</v>
      </c>
      <c r="B20" s="144" t="s">
        <v>424</v>
      </c>
      <c r="C20" s="143" t="s">
        <v>669</v>
      </c>
    </row>
    <row r="21" customFormat="false" ht="15.75" hidden="false" customHeight="true" outlineLevel="0" collapsed="false">
      <c r="A21" s="34" t="n">
        <v>2</v>
      </c>
      <c r="B21" s="36" t="s">
        <v>390</v>
      </c>
      <c r="C21" s="34" t="s">
        <v>669</v>
      </c>
    </row>
    <row r="22" customFormat="false" ht="15.75" hidden="false" customHeight="true" outlineLevel="0" collapsed="false">
      <c r="A22" s="143" t="n">
        <v>3</v>
      </c>
      <c r="B22" s="144" t="s">
        <v>670</v>
      </c>
      <c r="C22" s="143" t="s">
        <v>669</v>
      </c>
    </row>
    <row r="23" customFormat="false" ht="15.75" hidden="false" customHeight="true" outlineLevel="0" collapsed="false">
      <c r="A23" s="34" t="n">
        <v>4</v>
      </c>
      <c r="B23" s="36" t="s">
        <v>59</v>
      </c>
      <c r="C23" s="34" t="s">
        <v>669</v>
      </c>
    </row>
    <row r="24" customFormat="false" ht="15.75" hidden="false" customHeight="true" outlineLevel="0" collapsed="false">
      <c r="A24" s="143" t="n">
        <v>5</v>
      </c>
      <c r="B24" s="144" t="s">
        <v>131</v>
      </c>
      <c r="C24" s="143" t="s">
        <v>669</v>
      </c>
    </row>
    <row r="25" customFormat="false" ht="15.75" hidden="false" customHeight="true" outlineLevel="0" collapsed="false">
      <c r="A25" s="34" t="n">
        <v>6</v>
      </c>
      <c r="B25" s="36" t="s">
        <v>166</v>
      </c>
      <c r="C25" s="34" t="s">
        <v>669</v>
      </c>
    </row>
    <row r="26" customFormat="false" ht="15.75" hidden="false" customHeight="true" outlineLevel="0" collapsed="false">
      <c r="A26" s="143" t="n">
        <v>7</v>
      </c>
      <c r="B26" s="144" t="s">
        <v>84</v>
      </c>
      <c r="C26" s="143" t="s">
        <v>669</v>
      </c>
    </row>
    <row r="27" customFormat="false" ht="15.75" hidden="false" customHeight="true" outlineLevel="0" collapsed="false">
      <c r="A27" s="34" t="n">
        <v>8</v>
      </c>
      <c r="B27" s="36" t="s">
        <v>180</v>
      </c>
      <c r="C27" s="34" t="s">
        <v>669</v>
      </c>
    </row>
    <row r="28" customFormat="false" ht="15.75" hidden="false" customHeight="true" outlineLevel="0" collapsed="false">
      <c r="A28" s="143" t="n">
        <v>9</v>
      </c>
      <c r="B28" s="144" t="s">
        <v>671</v>
      </c>
      <c r="C28" s="143" t="s">
        <v>669</v>
      </c>
    </row>
    <row r="29" customFormat="false" ht="15.75" hidden="false" customHeight="true" outlineLevel="0" collapsed="false">
      <c r="A29" s="34" t="n">
        <v>10</v>
      </c>
      <c r="B29" s="36" t="s">
        <v>297</v>
      </c>
      <c r="C29" s="34" t="s">
        <v>669</v>
      </c>
    </row>
    <row r="30" customFormat="false" ht="15.75" hidden="false" customHeight="true" outlineLevel="0" collapsed="false">
      <c r="A30" s="143" t="n">
        <v>11</v>
      </c>
      <c r="B30" s="144" t="s">
        <v>437</v>
      </c>
      <c r="C30" s="143" t="s">
        <v>669</v>
      </c>
    </row>
    <row r="31" customFormat="false" ht="15.75" hidden="false" customHeight="true" outlineLevel="0" collapsed="false">
      <c r="A31" s="34" t="n">
        <v>12</v>
      </c>
      <c r="B31" s="36" t="s">
        <v>90</v>
      </c>
      <c r="C31" s="34" t="s">
        <v>669</v>
      </c>
    </row>
    <row r="32" customFormat="false" ht="15.75" hidden="false" customHeight="true" outlineLevel="0" collapsed="false">
      <c r="A32" s="143" t="n">
        <v>13</v>
      </c>
      <c r="B32" s="144" t="s">
        <v>292</v>
      </c>
      <c r="C32" s="143" t="s">
        <v>669</v>
      </c>
    </row>
    <row r="33" customFormat="false" ht="15.75" hidden="false" customHeight="true" outlineLevel="0" collapsed="false">
      <c r="A33" s="34" t="n">
        <v>14</v>
      </c>
      <c r="B33" s="36" t="s">
        <v>380</v>
      </c>
      <c r="C33" s="34" t="s">
        <v>669</v>
      </c>
    </row>
    <row r="34" customFormat="false" ht="15.75" hidden="false" customHeight="true" outlineLevel="0" collapsed="false">
      <c r="A34" s="143" t="n">
        <v>15</v>
      </c>
      <c r="B34" s="144" t="s">
        <v>137</v>
      </c>
      <c r="C34" s="143" t="s">
        <v>669</v>
      </c>
    </row>
    <row r="35" customFormat="false" ht="15.75" hidden="false" customHeight="true" outlineLevel="0" collapsed="false">
      <c r="A35" s="34" t="n">
        <v>16</v>
      </c>
      <c r="B35" s="36" t="s">
        <v>87</v>
      </c>
      <c r="C35" s="34" t="s">
        <v>669</v>
      </c>
    </row>
    <row r="36" customFormat="false" ht="15.75" hidden="false" customHeight="true" outlineLevel="0" collapsed="false">
      <c r="A36" s="143" t="n">
        <v>17</v>
      </c>
      <c r="B36" s="144" t="s">
        <v>277</v>
      </c>
      <c r="C36" s="143" t="s">
        <v>669</v>
      </c>
    </row>
    <row r="37" customFormat="false" ht="15.75" hidden="false" customHeight="true" outlineLevel="0" collapsed="false">
      <c r="A37" s="34" t="n">
        <v>18</v>
      </c>
      <c r="B37" s="36" t="s">
        <v>45</v>
      </c>
      <c r="C37" s="34" t="s">
        <v>669</v>
      </c>
    </row>
    <row r="38" customFormat="false" ht="15.75" hidden="false" customHeight="true" outlineLevel="0" collapsed="false">
      <c r="A38" s="143" t="n">
        <v>19</v>
      </c>
      <c r="B38" s="144" t="s">
        <v>234</v>
      </c>
      <c r="C38" s="143" t="s">
        <v>669</v>
      </c>
    </row>
    <row r="39" customFormat="false" ht="15.75" hidden="false" customHeight="true" outlineLevel="0" collapsed="false">
      <c r="A39" s="34" t="n">
        <v>20</v>
      </c>
      <c r="B39" s="36" t="s">
        <v>78</v>
      </c>
      <c r="C39" s="34" t="s">
        <v>669</v>
      </c>
    </row>
    <row r="40" customFormat="false" ht="15.75" hidden="false" customHeight="true" outlineLevel="0" collapsed="false">
      <c r="A40" s="143" t="n">
        <v>21</v>
      </c>
      <c r="B40" s="144" t="s">
        <v>261</v>
      </c>
      <c r="C40" s="143" t="s">
        <v>669</v>
      </c>
    </row>
    <row r="41" customFormat="false" ht="15.75" hidden="false" customHeight="true" outlineLevel="0" collapsed="false">
      <c r="A41" s="34" t="n">
        <v>22</v>
      </c>
      <c r="B41" s="36" t="s">
        <v>118</v>
      </c>
      <c r="C41" s="34" t="s">
        <v>669</v>
      </c>
    </row>
    <row r="42" customFormat="false" ht="15.75" hidden="false" customHeight="true" outlineLevel="0" collapsed="false">
      <c r="A42" s="143" t="n">
        <v>23</v>
      </c>
      <c r="B42" s="144" t="s">
        <v>69</v>
      </c>
      <c r="C42" s="143" t="s">
        <v>669</v>
      </c>
    </row>
    <row r="43" customFormat="false" ht="15.75" hidden="false" customHeight="true" outlineLevel="0" collapsed="false">
      <c r="A43" s="34" t="n">
        <v>24</v>
      </c>
      <c r="B43" s="36" t="s">
        <v>672</v>
      </c>
      <c r="C43" s="34" t="s">
        <v>669</v>
      </c>
    </row>
    <row r="44" customFormat="false" ht="15.75" hidden="false" customHeight="true" outlineLevel="0" collapsed="false">
      <c r="A44" s="143" t="n">
        <v>25</v>
      </c>
      <c r="B44" s="144" t="s">
        <v>359</v>
      </c>
      <c r="C44" s="143" t="s">
        <v>669</v>
      </c>
    </row>
    <row r="45" customFormat="false" ht="15.75" hidden="false" customHeight="true" outlineLevel="0" collapsed="false">
      <c r="A45" s="34" t="n">
        <v>26</v>
      </c>
      <c r="B45" s="36" t="s">
        <v>64</v>
      </c>
      <c r="C45" s="34" t="s">
        <v>669</v>
      </c>
    </row>
    <row r="46" customFormat="false" ht="15.75" hidden="false" customHeight="true" outlineLevel="0" collapsed="false">
      <c r="A46" s="143" t="n">
        <v>27</v>
      </c>
      <c r="B46" s="144" t="s">
        <v>169</v>
      </c>
      <c r="C46" s="143" t="s">
        <v>669</v>
      </c>
    </row>
    <row r="47" customFormat="false" ht="15.75" hidden="false" customHeight="true" outlineLevel="0" collapsed="false">
      <c r="A47" s="34" t="n">
        <v>28</v>
      </c>
      <c r="B47" s="36" t="s">
        <v>101</v>
      </c>
      <c r="C47" s="34" t="s">
        <v>669</v>
      </c>
    </row>
    <row r="48" customFormat="false" ht="15.75" hidden="false" customHeight="true" outlineLevel="0" collapsed="false">
      <c r="A48" s="143" t="n">
        <v>29</v>
      </c>
      <c r="B48" s="144" t="s">
        <v>673</v>
      </c>
      <c r="C48" s="143" t="s">
        <v>669</v>
      </c>
    </row>
    <row r="49" customFormat="false" ht="15.75" hidden="false" customHeight="true" outlineLevel="0" collapsed="false">
      <c r="A49" s="34" t="n">
        <v>30</v>
      </c>
      <c r="B49" s="36" t="s">
        <v>157</v>
      </c>
      <c r="C49" s="34" t="s">
        <v>669</v>
      </c>
    </row>
    <row r="50" customFormat="false" ht="15.75" hidden="false" customHeight="true" outlineLevel="0" collapsed="false">
      <c r="A50" s="143" t="n">
        <v>31</v>
      </c>
      <c r="B50" s="144" t="s">
        <v>294</v>
      </c>
      <c r="C50" s="143" t="s">
        <v>669</v>
      </c>
    </row>
    <row r="51" customFormat="false" ht="15.75" hidden="false" customHeight="true" outlineLevel="0" collapsed="false">
      <c r="A51" s="34" t="n">
        <v>32</v>
      </c>
      <c r="B51" s="36" t="s">
        <v>56</v>
      </c>
      <c r="C51" s="34" t="s">
        <v>669</v>
      </c>
    </row>
    <row r="52" customFormat="false" ht="15.75" hidden="false" customHeight="true" outlineLevel="0" collapsed="false">
      <c r="A52" s="143" t="n">
        <v>33</v>
      </c>
      <c r="B52" s="144" t="s">
        <v>188</v>
      </c>
      <c r="C52" s="143" t="s">
        <v>669</v>
      </c>
    </row>
    <row r="53" customFormat="false" ht="15.75" hidden="false" customHeight="true" outlineLevel="0" collapsed="false">
      <c r="A53" s="34" t="n">
        <v>34</v>
      </c>
      <c r="B53" s="36" t="s">
        <v>133</v>
      </c>
      <c r="C53" s="34" t="s">
        <v>669</v>
      </c>
    </row>
    <row r="54" customFormat="false" ht="15.75" hidden="false" customHeight="true" outlineLevel="0" collapsed="false">
      <c r="A54" s="143" t="n">
        <v>35</v>
      </c>
      <c r="B54" s="144" t="s">
        <v>154</v>
      </c>
      <c r="C54" s="143" t="s">
        <v>669</v>
      </c>
    </row>
    <row r="55" customFormat="false" ht="15.75" hidden="false" customHeight="true" outlineLevel="0" collapsed="false">
      <c r="A55" s="34" t="n">
        <v>36</v>
      </c>
      <c r="B55" s="36" t="s">
        <v>51</v>
      </c>
      <c r="C55" s="34" t="s">
        <v>669</v>
      </c>
    </row>
    <row r="56" customFormat="false" ht="15.75" hidden="false" customHeight="true" outlineLevel="0" collapsed="false">
      <c r="A56" s="143" t="n">
        <v>37</v>
      </c>
      <c r="B56" s="144" t="s">
        <v>387</v>
      </c>
      <c r="C56" s="143" t="s">
        <v>669</v>
      </c>
    </row>
    <row r="57" customFormat="false" ht="15.75" hidden="false" customHeight="true" outlineLevel="0" collapsed="false">
      <c r="A57" s="34" t="n">
        <v>38</v>
      </c>
      <c r="B57" s="36" t="s">
        <v>204</v>
      </c>
      <c r="C57" s="34" t="s">
        <v>669</v>
      </c>
    </row>
    <row r="58" customFormat="false" ht="15.75" hidden="false" customHeight="true" outlineLevel="0" collapsed="false">
      <c r="A58" s="143" t="n">
        <v>39</v>
      </c>
      <c r="B58" s="144" t="s">
        <v>361</v>
      </c>
      <c r="C58" s="143" t="s">
        <v>669</v>
      </c>
    </row>
    <row r="59" customFormat="false" ht="15.75" hidden="false" customHeight="true" outlineLevel="0" collapsed="false">
      <c r="A59" s="34" t="n">
        <v>40</v>
      </c>
      <c r="B59" s="36" t="s">
        <v>106</v>
      </c>
      <c r="C59" s="34" t="s">
        <v>669</v>
      </c>
    </row>
    <row r="60" customFormat="false" ht="15.75" hidden="false" customHeight="true" outlineLevel="0" collapsed="false">
      <c r="A60" s="143" t="n">
        <v>41</v>
      </c>
      <c r="B60" s="144" t="s">
        <v>421</v>
      </c>
      <c r="C60" s="143" t="s">
        <v>669</v>
      </c>
    </row>
    <row r="61" customFormat="false" ht="15.75" hidden="false" customHeight="true" outlineLevel="0" collapsed="false">
      <c r="A61" s="34" t="n">
        <v>42</v>
      </c>
      <c r="B61" s="36" t="s">
        <v>221</v>
      </c>
      <c r="C61" s="34" t="s">
        <v>669</v>
      </c>
    </row>
    <row r="62" customFormat="false" ht="15.75" hidden="false" customHeight="true" outlineLevel="0" collapsed="false">
      <c r="A62" s="143" t="n">
        <v>43</v>
      </c>
      <c r="B62" s="144" t="s">
        <v>109</v>
      </c>
      <c r="C62" s="143" t="s">
        <v>669</v>
      </c>
    </row>
    <row r="63" customFormat="false" ht="15.75" hidden="false" customHeight="true" outlineLevel="0" collapsed="false">
      <c r="A63" s="34" t="n">
        <v>44</v>
      </c>
      <c r="B63" s="36" t="s">
        <v>75</v>
      </c>
      <c r="C63" s="34" t="s">
        <v>669</v>
      </c>
    </row>
    <row r="64" customFormat="false" ht="15.75" hidden="false" customHeight="true" outlineLevel="0" collapsed="false">
      <c r="A64" s="143" t="n">
        <v>45</v>
      </c>
      <c r="B64" s="144" t="s">
        <v>72</v>
      </c>
      <c r="C64" s="143" t="s">
        <v>669</v>
      </c>
    </row>
    <row r="65" customFormat="false" ht="15.75" hidden="false" customHeight="true" outlineLevel="0" collapsed="false">
      <c r="A65" s="34" t="n">
        <v>46</v>
      </c>
      <c r="B65" s="36" t="s">
        <v>409</v>
      </c>
      <c r="C65" s="34" t="s">
        <v>669</v>
      </c>
    </row>
    <row r="66" customFormat="false" ht="15.75" hidden="false" customHeight="true" outlineLevel="0" collapsed="false">
      <c r="A66" s="143" t="n">
        <v>47</v>
      </c>
      <c r="B66" s="144" t="s">
        <v>674</v>
      </c>
      <c r="C66" s="143" t="s">
        <v>669</v>
      </c>
    </row>
    <row r="67" customFormat="false" ht="15.75" hidden="false" customHeight="true" outlineLevel="0" collapsed="false">
      <c r="A67" s="34" t="n">
        <v>48</v>
      </c>
      <c r="B67" s="36" t="s">
        <v>152</v>
      </c>
      <c r="C67" s="34" t="s">
        <v>669</v>
      </c>
    </row>
    <row r="68" customFormat="false" ht="15.75" hidden="false" customHeight="true" outlineLevel="0" collapsed="false">
      <c r="A68" s="143" t="n">
        <v>49</v>
      </c>
      <c r="B68" s="144" t="s">
        <v>675</v>
      </c>
      <c r="C68" s="143" t="s">
        <v>669</v>
      </c>
    </row>
    <row r="69" customFormat="false" ht="15.75" hidden="false" customHeight="true" outlineLevel="0" collapsed="false">
      <c r="A69" s="34" t="n">
        <v>50</v>
      </c>
      <c r="B69" s="36" t="s">
        <v>255</v>
      </c>
      <c r="C69" s="34" t="s">
        <v>669</v>
      </c>
    </row>
  </sheetData>
  <mergeCells count="2">
    <mergeCell ref="A1:F1"/>
    <mergeCell ref="A18:F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49.5" hidden="false" customHeight="true" outlineLevel="0" collapsed="false">
      <c r="A1" s="122" t="s">
        <v>676</v>
      </c>
      <c r="B1" s="122"/>
      <c r="C1" s="122"/>
    </row>
    <row r="3" customFormat="false" ht="25.5" hidden="false" customHeight="true" outlineLevel="0" collapsed="false">
      <c r="A3" s="164" t="s">
        <v>677</v>
      </c>
      <c r="B3" s="164"/>
      <c r="C3" s="164"/>
    </row>
    <row r="4" customFormat="false" ht="21.75" hidden="false" customHeight="true" outlineLevel="0" collapsed="false">
      <c r="B4" s="14" t="s">
        <v>678</v>
      </c>
      <c r="C4" s="14" t="s">
        <v>679</v>
      </c>
    </row>
    <row r="5" customFormat="false" ht="19.5" hidden="false" customHeight="true" outlineLevel="0" collapsed="false">
      <c r="B5" s="144" t="s">
        <v>680</v>
      </c>
      <c r="C5" s="144" t="s">
        <v>681</v>
      </c>
    </row>
    <row r="6" customFormat="false" ht="19.5" hidden="false" customHeight="true" outlineLevel="0" collapsed="false">
      <c r="B6" s="36" t="s">
        <v>682</v>
      </c>
      <c r="C6" s="36" t="s">
        <v>683</v>
      </c>
    </row>
    <row r="7" customFormat="false" ht="19.5" hidden="false" customHeight="true" outlineLevel="0" collapsed="false">
      <c r="B7" s="144" t="s">
        <v>684</v>
      </c>
      <c r="C7" s="144" t="s">
        <v>685</v>
      </c>
    </row>
    <row r="8" customFormat="false" ht="19.5" hidden="false" customHeight="true" outlineLevel="0" collapsed="false">
      <c r="B8" s="36" t="s">
        <v>686</v>
      </c>
      <c r="C8" s="36" t="s">
        <v>687</v>
      </c>
    </row>
    <row r="9" customFormat="false" ht="19.5" hidden="false" customHeight="true" outlineLevel="0" collapsed="false">
      <c r="B9" s="144" t="s">
        <v>688</v>
      </c>
      <c r="C9" s="144" t="s">
        <v>689</v>
      </c>
    </row>
    <row r="10" customFormat="false" ht="19.5" hidden="false" customHeight="true" outlineLevel="0" collapsed="false">
      <c r="B10" s="36" t="s">
        <v>690</v>
      </c>
      <c r="C10" s="36" t="s">
        <v>691</v>
      </c>
    </row>
    <row r="11" customFormat="false" ht="19.5" hidden="false" customHeight="true" outlineLevel="0" collapsed="false">
      <c r="B11" s="144" t="s">
        <v>692</v>
      </c>
      <c r="C11" s="144" t="s">
        <v>693</v>
      </c>
    </row>
    <row r="12" customFormat="false" ht="19.5" hidden="false" customHeight="true" outlineLevel="0" collapsed="false">
      <c r="B12" s="36" t="s">
        <v>694</v>
      </c>
      <c r="C12" s="36" t="s">
        <v>695</v>
      </c>
    </row>
    <row r="14" customFormat="false" ht="25.5" hidden="false" customHeight="true" outlineLevel="0" collapsed="false">
      <c r="A14" s="164" t="s">
        <v>696</v>
      </c>
      <c r="B14" s="164"/>
      <c r="C14" s="164"/>
    </row>
    <row r="15" customFormat="false" ht="19.5" hidden="false" customHeight="true" outlineLevel="0" collapsed="false">
      <c r="B15" s="165" t="s">
        <v>697</v>
      </c>
      <c r="C15" s="165"/>
    </row>
    <row r="16" customFormat="false" ht="30" hidden="false" customHeight="true" outlineLevel="0" collapsed="false">
      <c r="B16" s="144" t="s">
        <v>698</v>
      </c>
      <c r="C16" s="144" t="s">
        <v>699</v>
      </c>
    </row>
    <row r="17" customFormat="false" ht="19.5" hidden="false" customHeight="true" outlineLevel="0" collapsed="false">
      <c r="B17" s="166" t="s">
        <v>700</v>
      </c>
      <c r="C17" s="166"/>
    </row>
    <row r="18" customFormat="false" ht="30" hidden="false" customHeight="true" outlineLevel="0" collapsed="false">
      <c r="B18" s="144" t="s">
        <v>698</v>
      </c>
      <c r="C18" s="144" t="s">
        <v>701</v>
      </c>
    </row>
    <row r="19" customFormat="false" ht="19.5" hidden="false" customHeight="true" outlineLevel="0" collapsed="false">
      <c r="B19" s="167" t="s">
        <v>702</v>
      </c>
      <c r="C19" s="167"/>
    </row>
    <row r="20" customFormat="false" ht="30" hidden="false" customHeight="true" outlineLevel="0" collapsed="false">
      <c r="B20" s="144" t="s">
        <v>698</v>
      </c>
      <c r="C20" s="144" t="s">
        <v>703</v>
      </c>
    </row>
    <row r="22" customFormat="false" ht="25.5" hidden="false" customHeight="true" outlineLevel="0" collapsed="false">
      <c r="A22" s="164" t="s">
        <v>704</v>
      </c>
      <c r="B22" s="164"/>
      <c r="C22" s="164"/>
    </row>
    <row r="23" customFormat="false" ht="19.5" hidden="false" customHeight="true" outlineLevel="0" collapsed="false">
      <c r="B23" s="144" t="s">
        <v>705</v>
      </c>
      <c r="C23" s="144" t="s">
        <v>706</v>
      </c>
    </row>
    <row r="24" customFormat="false" ht="30" hidden="false" customHeight="true" outlineLevel="0" collapsed="false">
      <c r="B24" s="36" t="s">
        <v>707</v>
      </c>
      <c r="C24" s="36" t="s">
        <v>708</v>
      </c>
    </row>
    <row r="26" customFormat="false" ht="25.5" hidden="false" customHeight="true" outlineLevel="0" collapsed="false">
      <c r="A26" s="164" t="s">
        <v>709</v>
      </c>
      <c r="B26" s="164"/>
      <c r="C26" s="164"/>
    </row>
    <row r="27" customFormat="false" ht="19.5" hidden="false" customHeight="true" outlineLevel="0" collapsed="false">
      <c r="B27" s="168" t="s">
        <v>710</v>
      </c>
      <c r="C27" s="168" t="s">
        <v>711</v>
      </c>
    </row>
    <row r="28" customFormat="false" ht="19.5" hidden="false" customHeight="true" outlineLevel="0" collapsed="false">
      <c r="B28" s="168" t="s">
        <v>712</v>
      </c>
      <c r="C28" s="168" t="s">
        <v>713</v>
      </c>
    </row>
    <row r="29" customFormat="false" ht="19.5" hidden="false" customHeight="true" outlineLevel="0" collapsed="false">
      <c r="B29" s="168" t="s">
        <v>714</v>
      </c>
      <c r="C29" s="168" t="s">
        <v>715</v>
      </c>
    </row>
  </sheetData>
  <mergeCells count="5">
    <mergeCell ref="A1:C1"/>
    <mergeCell ref="A3:C3"/>
    <mergeCell ref="A14:C14"/>
    <mergeCell ref="A22:C22"/>
    <mergeCell ref="A26:C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2026-02-25T00:24:29Z</dcterms:created>
  <dc:creator>openpyxl</dc:creator>
  <dc:description/>
  <dc:language>en-US</dc:language>
  <cp:lastModifiedBy/>
  <dcterms:modified xsi:type="dcterms:W3CDTF">2026-02-25T00:24:32Z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